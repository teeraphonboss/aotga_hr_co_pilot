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เดือน_KPIs " sheetId="1" r:id="rId4"/>
    <sheet state="visible" name="รายเดือน_IDP " sheetId="2" r:id="rId5"/>
    <sheet state="visible" name="รายวัน_ผู้ควบคุมงาน" sheetId="3" r:id="rId6"/>
    <sheet state="visible" name="รายวัน_หัวหน้าผู้ควบคุมงาน" sheetId="4" r:id="rId7"/>
    <sheet state="visible" name="รายวัน_พนักงานทำความสะอาด" sheetId="5" r:id="rId8"/>
  </sheets>
  <externalReferences>
    <externalReference r:id="rId9"/>
  </externalReferences>
  <definedNames>
    <definedName name="Holiday">[1]Sheet1!$A$2:$B$9</definedName>
  </definedNames>
  <calcPr/>
  <extLst>
    <ext uri="GoogleSheetsCustomDataVersion2">
      <go:sheetsCustomData xmlns:go="http://customooxmlschemas.google.com/" r:id="rId10" roundtripDataChecksum="8Lp6esWyTSGzUbz0vsHcMdh7BdqFhmE9sToInoEGaGo="/>
    </ext>
  </extLst>
</workbook>
</file>

<file path=xl/sharedStrings.xml><?xml version="1.0" encoding="utf-8"?>
<sst xmlns="http://schemas.openxmlformats.org/spreadsheetml/2006/main" count="493" uniqueCount="236">
  <si>
    <t>แบบประเมินผลการปฎิบัติงานประจำปี</t>
  </si>
  <si>
    <t>ชื่อ-นามสกุล : ออทก้า ดอนเมือง</t>
  </si>
  <si>
    <t>รหัสพนักงาน : 1234567</t>
  </si>
  <si>
    <t>ตำแหน่ง : เจ้าหน้าที่บุคคล</t>
  </si>
  <si>
    <t>หน่วยงาน : แผนกทรัพยากรบุคคล</t>
  </si>
  <si>
    <t>สถานที่ปฏิบัติงาน : สำนักงานใหญ่</t>
  </si>
  <si>
    <t xml:space="preserve">ผู้บังคับบัญชา : </t>
  </si>
  <si>
    <t>บริการ ภาคพื้น</t>
  </si>
  <si>
    <t>ส่วนที่ 1 : ดัชนีชี้วัดผลงานหรือความสำเร็จของงาน (Key Performance Indicators : KPIs)</t>
  </si>
  <si>
    <t>มิติ</t>
  </si>
  <si>
    <t>เป้าหมายเชิงกลยุทธ์</t>
  </si>
  <si>
    <t>มิติของ KPIs</t>
  </si>
  <si>
    <t xml:space="preserve">เป้าหมาย </t>
  </si>
  <si>
    <t>น้ำหนัก (%)</t>
  </si>
  <si>
    <t>ผลสำเร็จ</t>
  </si>
  <si>
    <t>คะแนนผล
การปฏิบัติงาน</t>
  </si>
  <si>
    <t>1. มิติด้านการเงิน (Financial)</t>
  </si>
  <si>
    <t>Finance</t>
  </si>
  <si>
    <t>CKPI</t>
  </si>
  <si>
    <t>กำไร 100 ล้าน</t>
  </si>
  <si>
    <t>กำไร 60 ล้าน</t>
  </si>
  <si>
    <t>กำไร 80 ล้าน</t>
  </si>
  <si>
    <t>กำไร 120 ล้าน</t>
  </si>
  <si>
    <t xml:space="preserve">กำไร 140 ล้าน </t>
  </si>
  <si>
    <t xml:space="preserve">กำไร 150 ล้าน </t>
  </si>
  <si>
    <t>2. มิติด้านกระบวนการ (Operational &amp; Process Improvement)</t>
  </si>
  <si>
    <t>Standard</t>
  </si>
  <si>
    <t>SSQ_การพัฒนามาตรฐานการให้บริการ (แผนงานด้านมาตราฐาน)
เป้าหมาย : 3 แผนงานแล้วเสร็จภายในเดือนกันยายน 2569</t>
  </si>
  <si>
    <t>แผนงานแล้วเสร็จภายในเดือนพฤศจิกายน 2569</t>
  </si>
  <si>
    <t>แผนงานแล้วเสร็จภายในเดือนตุลาคม 2569</t>
  </si>
  <si>
    <t>แผนงานแล้วเสร็จภายในเดือนกันยายน 2569</t>
  </si>
  <si>
    <t>แผนงานแล้วเสร็จภายในเดือนสิงหาคม 2569</t>
  </si>
  <si>
    <t>แผนงานแล้วเสร็จภายในเดือนกรกฎาคม 2569</t>
  </si>
  <si>
    <t xml:space="preserve">BCP_มาตราฐานการบริหารความเสี่ยงองค์กร : แผนบริหารความต่อเนื่องทางธุรกิจ (Business Continuity Plan) </t>
  </si>
  <si>
    <t>มีความเสียงลดลง 7%</t>
  </si>
  <si>
    <t>มีความเสียงลดลง 6%</t>
  </si>
  <si>
    <t>มีความเสียงลดลง 5%</t>
  </si>
  <si>
    <t>มีความเสียงลดลง 4%</t>
  </si>
  <si>
    <t>มีความเสียงลดลง 3%</t>
  </si>
  <si>
    <t>มีความเสียงลดลง 2%</t>
  </si>
  <si>
    <t>Functional KPIs</t>
  </si>
  <si>
    <t>รับตำแหน่ง PSA ได้ 100 คนต่อปี</t>
  </si>
  <si>
    <t>รับคนได้ 60 คน</t>
  </si>
  <si>
    <t>รับคนได้ 80 คน</t>
  </si>
  <si>
    <t>รับคนได้ 100 คน</t>
  </si>
  <si>
    <t>รับคนได้ 120 คน</t>
  </si>
  <si>
    <t>รับคนได้ 140 คน</t>
  </si>
  <si>
    <t>3. มิติด้านลูกค้า (Customer Satisfaction)</t>
  </si>
  <si>
    <t>Service</t>
  </si>
  <si>
    <t>Customer Satisfaction Survey
เป้าหมาย : คะแนนเพิ่มขึ้นจากคะแนนปี 2568 10%</t>
  </si>
  <si>
    <t>เพิ่มขึ้น  6%</t>
  </si>
  <si>
    <t>เพิ่มขึ้น  8%</t>
  </si>
  <si>
    <t>เพิ่มขึ้น  10%</t>
  </si>
  <si>
    <t>เพิ่มขึ้น  12%</t>
  </si>
  <si>
    <t>เพิ่มขึ้น  14%</t>
  </si>
  <si>
    <t>คะแนนเพิ่มขึ้น  15%</t>
  </si>
  <si>
    <t>4. มิติด้านการเรียนรู้และเติบโต (People Development)</t>
  </si>
  <si>
    <t xml:space="preserve"> </t>
  </si>
  <si>
    <t>แผนพัฒนารายบุคคล (IDP)
เป้าหมาย : สามารถดำเนินการตามแผนพัฒนาตนเองได้ตามเป้าหมายที่กำหนด</t>
  </si>
  <si>
    <t>(อ้างอิงผลประเมินจากแบบฟอร์ม IDP)</t>
  </si>
  <si>
    <t>ชั่วโมงการอบรม
เป้าหมาย : สามารฝึกอบรมพัฒนาตนเองได้ตามเป้าหมายที่บริษัทกำหนด</t>
  </si>
  <si>
    <t>10-14 ชั่วโมง</t>
  </si>
  <si>
    <t>15-19 ชั่วโมง</t>
  </si>
  <si>
    <t>20-24 ชั่วโมง</t>
  </si>
  <si>
    <t>25-29 ชั่วโมง</t>
  </si>
  <si>
    <t>&gt;=30 ชั่วโมง</t>
  </si>
  <si>
    <t>อบรมได้ 40 ชั่วโมง</t>
  </si>
  <si>
    <t>ส่วนที่ 2 : การประเมินพฤติกรรมการทำงานหรือสมรรถนะ</t>
  </si>
  <si>
    <t>ค่านิยมองค์กร (AOTGA Core Values)</t>
  </si>
  <si>
    <t>คะแนน</t>
  </si>
  <si>
    <t>1
ทำไม่ได้เลย</t>
  </si>
  <si>
    <t>2
ทำได้บ้างไม่ได้บ้าง</t>
  </si>
  <si>
    <t>3
ทำได้เป็นส่วนใหญ่</t>
  </si>
  <si>
    <t>4
ทำได้เป็นประจำสม่ำเสมอ</t>
  </si>
  <si>
    <t>5
ทำได้เป็นประจำและเป็นแบบอย่างให้ผู้อื่น</t>
  </si>
  <si>
    <t>คะแนนประเมิน</t>
  </si>
  <si>
    <t>A : Achievement 
(มุ่งมั่นสู่ความสำเร็จ)</t>
  </si>
  <si>
    <t>1. วางแผนการทำงาน แสดงออกถึงความมุ่งมั่นทุ่มเทสุดความสามารถในการทำงานให้สำเร็จตามกำหนด</t>
  </si>
  <si>
    <t>วางแผนงานเมื่อได้รับมอบหมายและติดตามเพื่อขอความเห็นจากหัวหน้างานเป็นประจำ โดยแสดงออกอย่างเปิดเผย</t>
  </si>
  <si>
    <t>2. ไม่ย่อท้อ หรือ ยอมแพ้ต่อปัญหา อุปสรรค และความยากลำบาก</t>
  </si>
  <si>
    <t>ปฏิบัติงานเสร็จตามกำหนดระยะเวลาเป็นประจำ และไม่ลังเลที่จะสละเวลาส่วนตัวในบางครั้ง เพื่อทำงานให้บรรลุตามเป้าหมาย</t>
  </si>
  <si>
    <t>O : Openness &amp; Honesty 
(เปิดใจและโปร่งใส)</t>
  </si>
  <si>
    <t>1. ปฏิบัติงานด้วยความซื่อสัตย์ สุจริต โปร่งใส ตรวจสอบได้</t>
  </si>
  <si>
    <t>แสดงออกถึงพฤติกรรมการปฏิบัติงานตามบทบาทที่ชัดเจน และเปิดโอกาสให้ทีมงานได้แสดงความเห็นอย่างเท่าเทียมเป็นประจำ</t>
  </si>
  <si>
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</si>
  <si>
    <t>รับผิดชอบต่อคำพูดของตนและมีการติดตามผลเป็นประจำ รวมถึงแสดงความห่วงใยเพื่อนร่วมงานและหน่วยงานที่ติดต่ออย่างเปิดเผย</t>
  </si>
  <si>
    <t xml:space="preserve">T : Teamwork (ทำงานเป็นทีม) </t>
  </si>
  <si>
    <t>1. ให้ความร่วมมือกับสมาชิกในทีม ให้กำลังใจ และสนับสนุนช่วยเหลือเพื่อนร่วมทีมและหน่วยงานอื่นๆ เพื่อให้งานบรรลุเป้าหมายร่วมกัน</t>
  </si>
  <si>
    <t>มีความเห็นอกเห็นใจและเสียสละเวลาในการช่วยเหลือทีมงานสม่ำเสมอ</t>
  </si>
  <si>
    <t>2. สร้างบรรยากาศแห่งความไว้วางใจ มีความเคารพภายในทีม ยอมรับในความแตกต่างและความสามารถของแต่ละบุคคล</t>
  </si>
  <si>
    <t xml:space="preserve">ปฏิบัติต่อทุกคนภายในทีมอย่างเท่าเทียมและแสดงความเห็นอย่างเปิดเผย </t>
  </si>
  <si>
    <t>G : Goodwill 
(ใส่ใจห่วงใยลูกค้า)</t>
  </si>
  <si>
    <t>1. รักษาความสัมพันธ์กับลูกค้า/พนักงาน ด้วยมารยาทและใช้ภาษาหรือกิริยาที่เหมาะสม</t>
  </si>
  <si>
    <t>สร้างความสัมพันธ์เชิงบวกกับทีมงานและหน่วยงานที่ติดต่อเป็นประจำ</t>
  </si>
  <si>
    <t>2. แสดงความรับผิดชอบ หรือกล่าวขอโทษด้วยความจริงใจ เมื่อทำผิดพลาด</t>
  </si>
  <si>
    <t>เปิดรับฟังความคิดเห็นของผู้อื่นและยินดีที่จะให้ความช่วยเหลือสม่ำเสมอ</t>
  </si>
  <si>
    <t>A : Agility 
(พร้อมเปลี่ยนแปลงเรียนรู้)</t>
  </si>
  <si>
    <t>1. เรียนรู้จากประสบการณ์หรือความผิดพลาดที่เกิดขึ้น ปรับปรุงกระบวนการทำงานให้มีประสิทธิภาพ</t>
  </si>
  <si>
    <t>เข้าร่วมอบรมภายในบริษัทฯ ทุกครั้ง และสรรหาคอร์สอบรมที่จัดโดยหน่วยงานภายนอก เพื่อหาความรู้ในเรื่องใหม่เป็นประจำ</t>
  </si>
  <si>
    <t xml:space="preserve">2. ยืดหยุ่น ปรับตัวให้ทันต่อการเปลี่ยนแปลงและกล้าลงมือทำสิ่งใหม่ๆ </t>
  </si>
  <si>
    <t>เต็มใจที่จะปรับเปลี่ยนเรื่องต่างๆในการทำงาน และไม่ลังที่จะแสดงความคิดเห็นเชิงบวกในทีมอย่างเปิดเผย</t>
  </si>
  <si>
    <t>พนักงานรับทราบการประเมินผล</t>
  </si>
  <si>
    <t>ผู้ประเมินผลการปฏิบัติงาน (ผู้บังคับบัญชาระดับผู้จัดการแผนกขึ้นไป)</t>
  </si>
  <si>
    <t>ลงชื่อ</t>
  </si>
  <si>
    <t>ตำแหน่ง</t>
  </si>
  <si>
    <t>วันที่</t>
  </si>
  <si>
    <t>ตำแหน่ง :  เจ้าหน้าที่บุคคล</t>
  </si>
  <si>
    <t>หน่วยงาน :  แผนกทรัพยากรบุคคล</t>
  </si>
  <si>
    <t>ผู้บังคับบัญชา : บริการ ภาคพื้น</t>
  </si>
  <si>
    <t>ส่วนที่ 1 : การสะท้อนตนเอง (Self-Reflection)</t>
  </si>
  <si>
    <t>1. คุณคิดว่าจุดแข็ง/ความถนัดของคุณ คืออะไร</t>
  </si>
  <si>
    <t>มีความรอบคอบ</t>
  </si>
  <si>
    <t>2. คุณคิดว่าทักษะ ความรู้ในงานด้านใดที่ควรพัฒนาเพิ่มเติม</t>
  </si>
  <si>
    <t>กฎหมายแรงงาน</t>
  </si>
  <si>
    <t>3. งานหรืองานส่วนไหนที่คุณทำแล้วรู้สึกมีพลัง/สนุกที่สุด</t>
  </si>
  <si>
    <t>ประสานงานกับผู้อื่น</t>
  </si>
  <si>
    <t>4. อุปสรรคใดทีมีผลต่อการทำงานของคุณ</t>
  </si>
  <si>
    <t>ความรู้ด้านกฎหมายแรงงาน</t>
  </si>
  <si>
    <t>5. หากคุณได้รับโอกาสเลื่อนตำแหน่งหรืองานที่น่าสนใจมากขึ้น 
แต่อาจจะต้องโยกย้ายสถานที่ปฏิบัติงาน คุณยินดีหรือไม่</t>
  </si>
  <si>
    <t>ยินดี</t>
  </si>
  <si>
    <t>ส่วนที่ 2 : เป้าหมายในอาชีพ (Career Goals)</t>
  </si>
  <si>
    <t>1. ในอีก 1-3 ปี คุณอยากเห็นตัวเองอยู่ในบทบาทหรือหน้าที่แบบใด</t>
  </si>
  <si>
    <t>ได้รับการเลื่อนตำแหน่ง</t>
  </si>
  <si>
    <t>2. คุณมีความสนใจอยากเรียนรู้เรื่องใดเพิ่มเติมบ้าง</t>
  </si>
  <si>
    <t>ภาษาอังกฤษ</t>
  </si>
  <si>
    <t>3. คุณอยากเพิ่มทักษะอะไรที่จะช่วยให้คุณเติบโตในสายงาน</t>
  </si>
  <si>
    <t>ภาษาอังกฤษด้านการเขียนและการอ่าน</t>
  </si>
  <si>
    <t>ส่วนที่ 3 : แผนพัฒนา (Development Plan) กรุณาระบุมาอย่างละ 1 ข้อ</t>
  </si>
  <si>
    <t xml:space="preserve">ทักษะที่ต้องการพัฒนา </t>
  </si>
  <si>
    <t>วิธีการพัฒนา</t>
  </si>
  <si>
    <t>ระยะเวลาเป้าหมาย</t>
  </si>
  <si>
    <t>ตัวชี้วัดความสำเร็จ</t>
  </si>
  <si>
    <t>ผลความสำเร็จ</t>
  </si>
  <si>
    <t>คะแนน (เต็ม 5)</t>
  </si>
  <si>
    <t>ทักษะที่ต้องการพัฒนาในสายงาน</t>
  </si>
  <si>
    <t>ต้องการพัฒนาทักษะภาษาอังกฤษ</t>
  </si>
  <si>
    <t xml:space="preserve"> -เรียนออนไลน์ Future Skills
 -เรียนกับสถาบันกวดวิชา
 -เรียนจาก YouTube 
 -ฝึกฝนกับหัวหน้างาน, เพื่อน</t>
  </si>
  <si>
    <t>10 เดือน</t>
  </si>
  <si>
    <t>คะแนน TOEIC 495
( เพิ่มขึ้นจากคะแนนปัจจุบัน 
5% =  2.5 คะแนน
 4% =  2 คะแนน
3% = 1.5 คะแนน
2% =1 คะแนน
น้อยกว่า 2% = 0.5 คะแนน</t>
  </si>
  <si>
    <t>คะแนน TOEIC 700</t>
  </si>
  <si>
    <t>ทักษะอื่นๆ ที่ต้องการพัฒนานอกจากงาน</t>
  </si>
  <si>
    <t>พัฒนาทักษะการเป็นเชฟ</t>
  </si>
  <si>
    <t xml:space="preserve"> -ศึกษาเทคนิคจาก YouTube
 -ดูซีรีย์เรื่องเมนูรักพิชิตใจราชา
 - ลงเรียนครอสทำอาหาร</t>
  </si>
  <si>
    <t>6 เดือน</t>
  </si>
  <si>
    <t xml:space="preserve">ทำเมนูอาหารได้เหมือนนางเอกในเรื่องเมนูรักพิชิตใจราชา
-เปิดร้านขาย Delivery
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</si>
  <si>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เปิดร้านขาย Delivery ที่บ้านช่วงเลิกงาน</t>
  </si>
  <si>
    <t>แบบประเมินผลการปฏิบัติงานของพนักงาน</t>
  </si>
  <si>
    <t>โครงการทำความสะอาดแบบครบวงจร
ท่าอากาศยานสุวรรณภูมิ</t>
  </si>
  <si>
    <t xml:space="preserve">วันที่ประเมิน : </t>
  </si>
  <si>
    <t xml:space="preserve">ชื่อ - นามสกุล : </t>
  </si>
  <si>
    <t>ออทก้า ดอนเมือง</t>
  </si>
  <si>
    <t xml:space="preserve">รหัสพนักงาน : </t>
  </si>
  <si>
    <t xml:space="preserve">ตำแหน่ง : </t>
  </si>
  <si>
    <t>ผู้ควบคุมงาน</t>
  </si>
  <si>
    <t xml:space="preserve">แผนก : </t>
  </si>
  <si>
    <t>บริหารจัดการความสะอาดครบวงจร (สุวรรณภูมิ) (TSS-BKK)</t>
  </si>
  <si>
    <t xml:space="preserve">ผลัด : </t>
  </si>
  <si>
    <t>เช้า</t>
  </si>
  <si>
    <t xml:space="preserve">จุดปฏิบัติงานที่รับผิดชอบ : </t>
  </si>
  <si>
    <t>TSS-BKK</t>
  </si>
  <si>
    <t>ลำดับ</t>
  </si>
  <si>
    <t>หัวข้อการประเมิน</t>
  </si>
  <si>
    <t>น้ำหนัก</t>
  </si>
  <si>
    <t>ใส่เครื่องหมาย Pสำหรับการให้คะแนน</t>
  </si>
  <si>
    <t>น้อยมาก</t>
  </si>
  <si>
    <t>น้อย</t>
  </si>
  <si>
    <t>พอใช้</t>
  </si>
  <si>
    <t>ดี</t>
  </si>
  <si>
    <t>ดีมาก</t>
  </si>
  <si>
    <t>ทักษะและความสามารถในงานที่รับผิดชอบ</t>
  </si>
  <si>
    <t>มีความรู้ความเข้าใจเกี่ยวกับกฏระเบียบข้อบังคับของบริษัท</t>
  </si>
  <si>
    <t>✓</t>
  </si>
  <si>
    <t>มีความรู้ความเข้าใจในหน้าที่งานที่รับผิดชอบ</t>
  </si>
  <si>
    <t>มีการวางแผนงานล่วงหน้า</t>
  </si>
  <si>
    <t>มีการดำเนินงานตามแผนงาน และติดตามผลการดำเนินงาน</t>
  </si>
  <si>
    <t>มีทักษะในการตัดสินใจอย่างถูกต้อง ทันท่วงที มีเหตุผลประกอบการตัดสินใจ</t>
  </si>
  <si>
    <t xml:space="preserve">มีความสามารถในการแก้ไขปัญหาเฉพาะหน้า และปัญหาต่างๆ </t>
  </si>
  <si>
    <t>ทักษะความเป็นผู้นำ</t>
  </si>
  <si>
    <t>สามารถทำงานและ/หรือร่วมกิจกรรมกับผู้อื่น และหน่วยงานเกี่ยวข้องได้
มีมนุษยสัมพันธ์ที่ดี</t>
  </si>
  <si>
    <t>สามารถทำงานเป็นทีม  สนับสนุน ส่งเสริมให้หน่วยงานทำงานเป็นทีม</t>
  </si>
  <si>
    <t>สามารถเรียนรู้สิ่งใหม่ๆ ยอมรับและปรับตัวให้เข้ากับสถานการณ์และสิ่งแวดล้อมที่เปลี่ยนแปลงได้</t>
  </si>
  <si>
    <t>มีทักษะในการสื่อสารที่ดี ทั้งการพูด การฟัง การเขียน และการตีความหมาย</t>
  </si>
  <si>
    <t>-</t>
  </si>
  <si>
    <t>การพูด สามารถพูดให้ผู้อื่นเข้าใจง่าย ตรงประเด็น ลดความขัดแย้ง</t>
  </si>
  <si>
    <t>การฟัง สามารถเป็นผู้ฟังที่ดี รับฟังความคิดเห็นอย่างเป็นกลาง</t>
  </si>
  <si>
    <t>การเขียน สามารถเขียนอธิบายสิ่งต่างๆ ได้ใจความ ตรงประเด็น ชัดเจน</t>
  </si>
  <si>
    <t>การตีความหมาย สามารถตีความหมายและสื่อสารข้อมูลที่ต้อง เป็นประโยชน์ต่อผู้อื่น และหน่วยงานที่เกี่ยวข้องรับทราบได้</t>
  </si>
  <si>
    <t>มีความคิดริเริ่มสร้างสรรค์ในการปรับปรุงงานของตนเอง และส่งเสริมให้
ทีมงานได้พัฒนางานให้มีประสิทธิภาพมากขึ้น</t>
  </si>
  <si>
    <t>มีความละเอียด รอบคอบ และมีความรับผิดชอบในการทำงาน</t>
  </si>
  <si>
    <t>มีความสามารถมอบหมายงานและความรับผิดชอบให้ทีมงานดูแลได้
อย่างเหมาะสมตามศักยภาพของผู้รับมอบหมายงาน</t>
  </si>
  <si>
    <t>มีทักษะการเป็นผู้ฝึกสอน ให้คำแนะนำในการทำงาน สามารถสอนงาน
อธิบายขั้นตอนการทำงานให้ผู้อื่นเข้าใจได้</t>
  </si>
  <si>
    <t>การให้ความร่วมมือต่อผู้บังคับบัญชา และบริษัทฯ เป็นอย่างดี</t>
  </si>
  <si>
    <t>คุณธรรมและจริยธรรม</t>
  </si>
  <si>
    <t>ปฏิบัติหน้าที่ด้วยความโปร่งใส ซื่อสัตย์ ไม่ลักขโมย
มีจริยธรรมและระเบียบวินัย</t>
  </si>
  <si>
    <t>พนักงานให้บริการด้วยความสุภาพ อัธยาศัยไมตรีอันดี มีจิตใจให้บริการ</t>
  </si>
  <si>
    <t xml:space="preserve">ตัวชี้วัดผลการทำงานหลัก </t>
  </si>
  <si>
    <t>คุณภาพของงานที่รับผิดชอบ สามารถส่งงานที่ได้รับมอบหมาย
ได้ทันตามเวลาที่หนด</t>
  </si>
  <si>
    <t>ความรู้ความเข้าใจการทำความสะอาดในพื้นที่ จุดปฏิบัติงานที่รับผิดชอบ</t>
  </si>
  <si>
    <t>ความเข้าใจในการเบิกวัสดุอุปกรณ์ทำความสะอาด</t>
  </si>
  <si>
    <t>ความรู้เรื่องการใช้น้ำยา และอุปกรณ์ทำความสะอาดทุกประเภท</t>
  </si>
  <si>
    <t>ความรู้เรื่องการใช้นวัตกรรมใหม่ หุ่นยนต์ทำความสะอาด</t>
  </si>
  <si>
    <t xml:space="preserve">รวมคะแนน  </t>
  </si>
  <si>
    <t>สรุปผลจากคะแนนการประเมิน</t>
  </si>
  <si>
    <t>%</t>
  </si>
  <si>
    <t>ผ่านเกณฑ์การประเมิน</t>
  </si>
  <si>
    <t>ไม่ผ่านเกณฑ์การประเมิน</t>
  </si>
  <si>
    <r>
      <rPr>
        <rFont val="TH Sarabun New"/>
        <color theme="1"/>
        <sz val="14.0"/>
        <u/>
      </rPr>
      <t>หมายเหตุ</t>
    </r>
    <r>
      <rPr>
        <rFont val="TH Sarabun New"/>
        <color theme="1"/>
        <sz val="14.0"/>
      </rPr>
      <t xml:space="preserve"> : เกณฑ์ในการพิจารณา ผู้ที่จะถูกพิจารณาว่า "ผ่าน" คะแนนการประเมินต้องไม่ต่ำกว่า 75%</t>
    </r>
  </si>
  <si>
    <t>ข้อเสนอแนะการปฏิบัติงานและการพัฒนาตนเอง</t>
  </si>
  <si>
    <t xml:space="preserve">ลงชื่อ </t>
  </si>
  <si>
    <t>ผู้ถูกประเมิน</t>
  </si>
  <si>
    <t>ผู้ประเมิน</t>
  </si>
  <si>
    <t>(</t>
  </si>
  <si>
    <t>)  พนักงาน</t>
  </si>
  <si>
    <t xml:space="preserve">)  </t>
  </si>
  <si>
    <t xml:space="preserve">ตำแหน่ง </t>
  </si>
  <si>
    <t>หัวหน้าผู้ควบคุมงาน</t>
  </si>
  <si>
    <t xml:space="preserve">   วันที่ </t>
  </si>
  <si>
    <t>(   )</t>
  </si>
  <si>
    <t>ตำแหน่ง ผู้จัดการแผนกบริหารจัดการความสะอาดวงจร (สุวรรณภูมิ)</t>
  </si>
  <si>
    <t>ตำแหน่ง : หัวหน้าผู้ควบคุมงาน</t>
  </si>
  <si>
    <t>มีความรู้ความเข้าใจในการจัดทำรายงานต่างๆ  และเอกสารที่เกี่ยวข้อง</t>
  </si>
  <si>
    <t>ความรู้ความเข้าใจการทำความสะอาดภายในสนามบิน</t>
  </si>
  <si>
    <r>
      <rPr>
        <rFont val="TH Sarabun New"/>
        <color theme="1"/>
        <sz val="16.0"/>
        <u/>
      </rPr>
      <t>หมายเหตุ</t>
    </r>
    <r>
      <rPr>
        <rFont val="TH Sarabun New"/>
        <color theme="1"/>
        <sz val="16.0"/>
      </rPr>
      <t xml:space="preserve"> : เกณฑ์ในการพิจารณา ผู้ที่จะถูกพิจารณาว่า "ผ่าน" คะแนนการประเมินต้องไม่ต่ำกว่า 75%</t>
    </r>
  </si>
  <si>
    <t xml:space="preserve"> Station Manager</t>
  </si>
  <si>
    <t xml:space="preserve">(                    ) </t>
  </si>
  <si>
    <t>ตำแหน่ง  ผู้จัดการแผนกบริหารจัดการความสะอาดวงจร (สุวรรณภูมิ)</t>
  </si>
  <si>
    <t>พนักงานทำความสะอาด</t>
  </si>
  <si>
    <t>มีความสามารถปฏิบัติที่ได้รับมอบหมายได้เป็นอย่างดี</t>
  </si>
  <si>
    <t>ทักษะในการปฏิบัติงานร่วมกับผู้อื่น</t>
  </si>
  <si>
    <t>สามารถทำงานและ/หรือร่วมกิจกรรมกับผู้อื่น มีมนุษยสัมพันธ์ที่ดี 
และสามารถทำงานเป็นทีมได้</t>
  </si>
  <si>
    <t>มีทักษะในการสื่อสารที่ดี ทั้งการพูด การฟัง และการตีความหมาย</t>
  </si>
  <si>
    <t>แต่งกายเรียบร้อย ถูกต้อง ตามที่บริษัทฯ กำหนด</t>
  </si>
  <si>
    <t>ความรู้เรื่องการใช้น้ำยา และอุปกรณ์ทำความสะอาด 
ที่ตนเองใช้ปฏิบัติหน้าที่เป็นอย่างดี</t>
  </si>
  <si>
    <r>
      <rPr>
        <rFont val="TH Sarabun New"/>
        <color theme="1"/>
        <sz val="14.0"/>
        <u/>
      </rPr>
      <t>หมายเหตุ</t>
    </r>
    <r>
      <rPr>
        <rFont val="TH Sarabun New"/>
        <color theme="1"/>
        <sz val="14.0"/>
      </rPr>
      <t xml:space="preserve"> : เกณฑ์ในการพิจารณา ผู้ที่จะถูกพิจารณาว่า "ผ่าน" คะแนนการประเมินต้องไม่ต่ำกว่า 75%</t>
    </r>
  </si>
  <si>
    <t>(      )</t>
  </si>
  <si>
    <t>ตำแหน่ง ผู้จัดการแผนกบริหารจัดการความสะอาดครบวงจร (สุวรรณภูมิ)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</si>
</sst>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70000]d/mm/yyyy"/>
  </numFmts>
  <fonts count="29">
    <font>
      <sz val="11.0"/>
      <color theme="1"/>
      <name val="Aptos Narrow"/>
      <scheme val="minor"/>
    </font>
    <font>
      <b/>
      <sz val="18.0"/>
      <color theme="1"/>
      <name val="TH Sarabun PSK"/>
    </font>
    <font/>
    <font>
      <sz val="22.0"/>
      <color theme="1"/>
      <name val="TH Sarabun PSK"/>
    </font>
    <font>
      <sz val="22.0"/>
      <color rgb="FF000000"/>
      <name val="TH Sarabun PSK"/>
    </font>
    <font>
      <sz val="10.0"/>
      <color rgb="FF000000"/>
      <name val="Aptos Narrow"/>
    </font>
    <font>
      <b/>
      <sz val="16.0"/>
      <color theme="1"/>
      <name val="TH Sarabun PSK"/>
    </font>
    <font>
      <b/>
      <sz val="16.0"/>
      <color theme="0"/>
      <name val="TH Sarabun PSK"/>
    </font>
    <font>
      <sz val="16.0"/>
      <color theme="0"/>
      <name val="TH Sarabun PSK"/>
    </font>
    <font>
      <sz val="16.0"/>
      <color theme="1"/>
      <name val="TH Sarabun PSK"/>
    </font>
    <font>
      <sz val="16.0"/>
      <color rgb="FF000000"/>
      <name val="TH Sarabun PSK"/>
    </font>
    <font>
      <sz val="16.0"/>
      <color rgb="FF000000"/>
      <name val="Aptos Narrow"/>
    </font>
    <font>
      <b/>
      <sz val="16.0"/>
      <color rgb="FF000000"/>
      <name val="TH Sarabun PSK"/>
    </font>
    <font>
      <b/>
      <sz val="16.0"/>
      <color rgb="FFFFFFFF"/>
      <name val="TH Sarabun PSK"/>
    </font>
    <font>
      <b/>
      <sz val="16.0"/>
      <color rgb="FFFF0000"/>
      <name val="TH Sarabun PSK"/>
    </font>
    <font>
      <b/>
      <sz val="17.0"/>
      <color theme="1"/>
      <name val="TH Sarabun PSK"/>
    </font>
    <font>
      <sz val="17.0"/>
      <color theme="1"/>
      <name val="TH Sarabun PSK"/>
    </font>
    <font>
      <b/>
      <u/>
      <sz val="16.0"/>
      <color rgb="FF000000"/>
      <name val="TH Sarabun PSK"/>
    </font>
    <font>
      <b/>
      <u/>
      <sz val="16.0"/>
      <color rgb="FF000000"/>
      <name val="TH Sarabun PSK"/>
    </font>
    <font>
      <sz val="10.0"/>
      <color rgb="FF000000"/>
      <name val="TH Sarabun PSK"/>
    </font>
    <font>
      <sz val="18.0"/>
      <color theme="1"/>
      <name val="TH Sarabun PSK"/>
    </font>
    <font>
      <sz val="18.0"/>
      <color rgb="FF000000"/>
      <name val="TH Sarabun PSK"/>
    </font>
    <font>
      <sz val="14.0"/>
      <color theme="1"/>
      <name val="Sarabun"/>
    </font>
    <font>
      <b/>
      <sz val="14.0"/>
      <color theme="1"/>
      <name val="Sarabun"/>
    </font>
    <font>
      <b/>
      <sz val="16.0"/>
      <color theme="1"/>
      <name val="Sarabun"/>
    </font>
    <font>
      <sz val="13.0"/>
      <color theme="1"/>
      <name val="Sarabun"/>
    </font>
    <font>
      <sz val="12.0"/>
      <color theme="1"/>
      <name val="Sarabun"/>
    </font>
    <font>
      <b/>
      <sz val="13.0"/>
      <color theme="1"/>
      <name val="Sarabun"/>
    </font>
    <font>
      <sz val="16.0"/>
      <color theme="1"/>
      <name val="Sarabun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  <fill>
      <patternFill patternType="solid">
        <fgColor rgb="FFFEF1CC"/>
        <bgColor rgb="FFFEF1CC"/>
      </patternFill>
    </fill>
    <fill>
      <patternFill patternType="solid">
        <fgColor rgb="FFFFFF00"/>
        <bgColor rgb="FFFFFF00"/>
      </patternFill>
    </fill>
    <fill>
      <patternFill patternType="solid">
        <fgColor rgb="FFB4E4E8"/>
        <bgColor rgb="FFB4E4E8"/>
      </patternFill>
    </fill>
    <fill>
      <patternFill patternType="solid">
        <fgColor rgb="FF0070C0"/>
        <bgColor rgb="FF0070C0"/>
      </patternFill>
    </fill>
    <fill>
      <patternFill patternType="solid">
        <fgColor rgb="FF002060"/>
        <bgColor rgb="FF002060"/>
      </patternFill>
    </fill>
    <fill>
      <patternFill patternType="solid">
        <fgColor rgb="FFC1E4F5"/>
        <bgColor rgb="FFC1E4F5"/>
      </patternFill>
    </fill>
  </fills>
  <borders count="5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right style="thin">
        <color rgb="FF000000"/>
      </right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Font="1"/>
    <xf borderId="0" fillId="0" fontId="5" numFmtId="0" xfId="0" applyFont="1"/>
    <xf borderId="4" fillId="2" fontId="6" numFmtId="0" xfId="0" applyAlignment="1" applyBorder="1" applyFont="1">
      <alignment horizontal="left" vertical="center"/>
    </xf>
    <xf borderId="5" fillId="2" fontId="7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left" vertical="center"/>
    </xf>
    <xf borderId="5" fillId="2" fontId="8" numFmtId="0" xfId="0" applyAlignment="1" applyBorder="1" applyFont="1">
      <alignment horizontal="center" vertical="center"/>
    </xf>
    <xf borderId="6" fillId="2" fontId="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Font="1"/>
    <xf borderId="0" fillId="0" fontId="11" numFmtId="0" xfId="0" applyFont="1"/>
    <xf borderId="7" fillId="2" fontId="7" numFmtId="0" xfId="0" applyAlignment="1" applyBorder="1" applyFont="1">
      <alignment horizontal="center" vertical="center"/>
    </xf>
    <xf borderId="8" fillId="3" fontId="6" numFmtId="0" xfId="0" applyAlignment="1" applyBorder="1" applyFill="1" applyFont="1">
      <alignment horizontal="left" vertical="center"/>
    </xf>
    <xf borderId="9" fillId="3" fontId="7" numFmtId="0" xfId="0" applyAlignment="1" applyBorder="1" applyFont="1">
      <alignment horizontal="center" vertical="center"/>
    </xf>
    <xf borderId="9" fillId="3" fontId="8" numFmtId="0" xfId="0" applyAlignment="1" applyBorder="1" applyFont="1">
      <alignment horizontal="center" vertical="center"/>
    </xf>
    <xf borderId="9" fillId="3" fontId="6" numFmtId="9" xfId="0" applyAlignment="1" applyBorder="1" applyFont="1" applyNumberFormat="1">
      <alignment horizontal="left" vertical="center"/>
    </xf>
    <xf borderId="10" fillId="3" fontId="8" numFmtId="0" xfId="0" applyAlignment="1" applyBorder="1" applyFont="1">
      <alignment horizontal="center" vertical="center"/>
    </xf>
    <xf borderId="11" fillId="4" fontId="12" numFmtId="0" xfId="0" applyAlignment="1" applyBorder="1" applyFill="1" applyFont="1">
      <alignment horizontal="center" vertical="center"/>
    </xf>
    <xf borderId="11" fillId="4" fontId="12" numFmtId="0" xfId="0" applyAlignment="1" applyBorder="1" applyFont="1">
      <alignment horizontal="center" shrinkToFit="0" vertical="center" wrapText="1"/>
    </xf>
    <xf borderId="12" fillId="4" fontId="12" numFmtId="0" xfId="0" applyAlignment="1" applyBorder="1" applyFont="1">
      <alignment horizontal="center" shrinkToFit="0" vertical="center" wrapText="1"/>
    </xf>
    <xf borderId="11" fillId="5" fontId="13" numFmtId="0" xfId="0" applyAlignment="1" applyBorder="1" applyFill="1" applyFont="1">
      <alignment horizontal="center" shrinkToFit="0" vertical="center" wrapText="1"/>
    </xf>
    <xf borderId="13" fillId="6" fontId="9" numFmtId="0" xfId="0" applyAlignment="1" applyBorder="1" applyFill="1" applyFont="1">
      <alignment horizontal="left" vertical="top"/>
    </xf>
    <xf borderId="13" fillId="6" fontId="6" numFmtId="9" xfId="0" applyAlignment="1" applyBorder="1" applyFont="1" applyNumberFormat="1">
      <alignment vertical="center"/>
    </xf>
    <xf borderId="13" fillId="6" fontId="14" numFmtId="0" xfId="0" applyAlignment="1" applyBorder="1" applyFont="1">
      <alignment horizontal="center" vertical="center"/>
    </xf>
    <xf borderId="14" fillId="6" fontId="14" numFmtId="0" xfId="0" applyAlignment="1" applyBorder="1" applyFont="1">
      <alignment horizontal="center" vertical="center"/>
    </xf>
    <xf borderId="11" fillId="2" fontId="9" numFmtId="0" xfId="0" applyAlignment="1" applyBorder="1" applyFont="1">
      <alignment horizontal="center" vertical="top"/>
    </xf>
    <xf borderId="11" fillId="2" fontId="9" numFmtId="0" xfId="0" applyAlignment="1" applyBorder="1" applyFont="1">
      <alignment horizontal="left" vertical="top"/>
    </xf>
    <xf borderId="11" fillId="2" fontId="9" numFmtId="9" xfId="0" applyAlignment="1" applyBorder="1" applyFont="1" applyNumberFormat="1">
      <alignment horizontal="center" vertical="top"/>
    </xf>
    <xf borderId="12" fillId="2" fontId="9" numFmtId="0" xfId="0" applyAlignment="1" applyBorder="1" applyFont="1">
      <alignment horizontal="center" vertical="top"/>
    </xf>
    <xf borderId="11" fillId="2" fontId="9" numFmtId="4" xfId="0" applyAlignment="1" applyBorder="1" applyFont="1" applyNumberFormat="1">
      <alignment horizontal="center" vertical="top"/>
    </xf>
    <xf borderId="13" fillId="6" fontId="6" numFmtId="9" xfId="0" applyAlignment="1" applyBorder="1" applyFont="1" applyNumberFormat="1">
      <alignment vertical="top"/>
    </xf>
    <xf borderId="14" fillId="6" fontId="9" numFmtId="0" xfId="0" applyAlignment="1" applyBorder="1" applyFont="1">
      <alignment horizontal="center" vertical="top"/>
    </xf>
    <xf borderId="11" fillId="0" fontId="9" numFmtId="0" xfId="0" applyAlignment="1" applyBorder="1" applyFont="1">
      <alignment horizontal="center" vertical="top"/>
    </xf>
    <xf borderId="11" fillId="0" fontId="9" numFmtId="0" xfId="0" applyAlignment="1" applyBorder="1" applyFont="1">
      <alignment horizontal="left" shrinkToFit="0" vertical="top" wrapText="1"/>
    </xf>
    <xf borderId="11" fillId="0" fontId="9" numFmtId="0" xfId="0" applyAlignment="1" applyBorder="1" applyFont="1">
      <alignment horizontal="left" vertical="top"/>
    </xf>
    <xf borderId="11" fillId="0" fontId="9" numFmtId="9" xfId="0" applyAlignment="1" applyBorder="1" applyFont="1" applyNumberFormat="1">
      <alignment horizontal="center" vertical="top"/>
    </xf>
    <xf borderId="11" fillId="0" fontId="9" numFmtId="0" xfId="0" applyAlignment="1" applyBorder="1" applyFont="1">
      <alignment horizontal="center" shrinkToFit="0" vertical="top" wrapText="1"/>
    </xf>
    <xf borderId="11" fillId="7" fontId="9" numFmtId="0" xfId="0" applyAlignment="1" applyBorder="1" applyFill="1" applyFont="1">
      <alignment horizontal="center" vertical="top"/>
    </xf>
    <xf borderId="11" fillId="7" fontId="9" numFmtId="0" xfId="0" applyAlignment="1" applyBorder="1" applyFont="1">
      <alignment horizontal="left" shrinkToFit="0" vertical="top" wrapText="1"/>
    </xf>
    <xf borderId="11" fillId="7" fontId="9" numFmtId="0" xfId="0" applyAlignment="1" applyBorder="1" applyFont="1">
      <alignment horizontal="left" vertical="top"/>
    </xf>
    <xf borderId="11" fillId="7" fontId="9" numFmtId="9" xfId="0" applyAlignment="1" applyBorder="1" applyFont="1" applyNumberFormat="1">
      <alignment horizontal="center" readingOrder="0" vertical="top"/>
    </xf>
    <xf borderId="1" fillId="7" fontId="9" numFmtId="0" xfId="0" applyAlignment="1" applyBorder="1" applyFont="1">
      <alignment horizontal="center" vertical="top"/>
    </xf>
    <xf borderId="0" fillId="7" fontId="9" numFmtId="0" xfId="0" applyAlignment="1" applyFont="1">
      <alignment vertical="center"/>
    </xf>
    <xf borderId="0" fillId="7" fontId="10" numFmtId="0" xfId="0" applyFont="1"/>
    <xf borderId="0" fillId="7" fontId="11" numFmtId="0" xfId="0" applyFont="1"/>
    <xf borderId="0" fillId="7" fontId="9" numFmtId="0" xfId="0" applyAlignment="1" applyFont="1">
      <alignment horizontal="center" vertical="top"/>
    </xf>
    <xf borderId="0" fillId="7" fontId="9" numFmtId="0" xfId="0" applyAlignment="1" applyFont="1">
      <alignment horizontal="left" shrinkToFit="0" vertical="top" wrapText="1"/>
    </xf>
    <xf borderId="13" fillId="6" fontId="3" numFmtId="0" xfId="0" applyAlignment="1" applyBorder="1" applyFont="1">
      <alignment horizontal="center" vertical="top"/>
    </xf>
    <xf borderId="11" fillId="0" fontId="9" numFmtId="0" xfId="0" applyAlignment="1" applyBorder="1" applyFont="1">
      <alignment horizontal="center" readingOrder="0" vertical="top"/>
    </xf>
    <xf borderId="1" fillId="0" fontId="9" numFmtId="9" xfId="0" applyAlignment="1" applyBorder="1" applyFont="1" applyNumberFormat="1">
      <alignment horizontal="center" vertical="top"/>
    </xf>
    <xf borderId="1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top"/>
    </xf>
    <xf borderId="16" fillId="0" fontId="9" numFmtId="0" xfId="0" applyAlignment="1" applyBorder="1" applyFont="1">
      <alignment horizontal="center" vertical="top"/>
    </xf>
    <xf borderId="1" fillId="3" fontId="6" numFmtId="0" xfId="0" applyAlignment="1" applyBorder="1" applyFont="1">
      <alignment horizontal="left" vertical="center"/>
    </xf>
    <xf borderId="17" fillId="8" fontId="6" numFmtId="0" xfId="0" applyAlignment="1" applyBorder="1" applyFill="1" applyFont="1">
      <alignment horizontal="center" vertical="center"/>
    </xf>
    <xf borderId="18" fillId="0" fontId="2" numFmtId="0" xfId="0" applyBorder="1" applyFont="1"/>
    <xf borderId="19" fillId="0" fontId="2" numFmtId="0" xfId="0" applyBorder="1" applyFont="1"/>
    <xf borderId="20" fillId="8" fontId="6" numFmtId="9" xfId="0" applyAlignment="1" applyBorder="1" applyFont="1" applyNumberFormat="1">
      <alignment horizontal="center" vertical="center"/>
    </xf>
    <xf borderId="21" fillId="8" fontId="15" numFmtId="0" xfId="0" applyAlignment="1" applyBorder="1" applyFont="1">
      <alignment horizontal="center" readingOrder="0" shrinkToFit="0" vertical="center" wrapText="1"/>
    </xf>
    <xf borderId="20" fillId="8" fontId="6" numFmtId="0" xfId="0" applyAlignment="1" applyBorder="1" applyFont="1">
      <alignment horizontal="center" shrinkToFit="0" vertical="center" wrapText="1"/>
    </xf>
    <xf borderId="20" fillId="8" fontId="15" numFmtId="0" xfId="0" applyAlignment="1" applyBorder="1" applyFont="1">
      <alignment horizontal="center" readingOrder="0" shrinkToFit="0" vertical="center" wrapText="1"/>
    </xf>
    <xf borderId="20" fillId="9" fontId="7" numFmtId="0" xfId="0" applyAlignment="1" applyBorder="1" applyFill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1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16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6" numFmtId="0" xfId="0" applyAlignment="1" applyBorder="1" applyFont="1">
      <alignment horizontal="center" vertical="center"/>
    </xf>
    <xf borderId="30" fillId="0" fontId="6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1" fillId="0" fontId="9" numFmtId="9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vertical="center"/>
    </xf>
    <xf borderId="1" fillId="0" fontId="9" numFmtId="0" xfId="0" applyAlignment="1" applyBorder="1" applyFont="1">
      <alignment vertical="center"/>
    </xf>
    <xf borderId="11" fillId="0" fontId="9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horizontal="center" vertical="center"/>
    </xf>
    <xf borderId="11" fillId="0" fontId="9" numFmtId="0" xfId="0" applyAlignment="1" applyBorder="1" applyFont="1">
      <alignment shrinkToFit="0" vertical="top" wrapText="1"/>
    </xf>
    <xf borderId="30" fillId="0" fontId="15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31" fillId="0" fontId="9" numFmtId="0" xfId="0" applyAlignment="1" applyBorder="1" applyFont="1">
      <alignment vertical="center"/>
    </xf>
    <xf borderId="31" fillId="0" fontId="9" numFmtId="0" xfId="0" applyAlignment="1" applyBorder="1" applyFont="1">
      <alignment horizontal="center" vertical="center"/>
    </xf>
    <xf borderId="1" fillId="0" fontId="9" numFmtId="9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center" vertical="center"/>
    </xf>
    <xf borderId="11" fillId="0" fontId="11" numFmtId="0" xfId="0" applyBorder="1" applyFont="1"/>
    <xf borderId="1" fillId="0" fontId="5" numFmtId="0" xfId="0" applyBorder="1" applyFont="1"/>
    <xf borderId="0" fillId="0" fontId="17" numFmtId="0" xfId="0" applyAlignment="1" applyFont="1">
      <alignment horizontal="left"/>
    </xf>
    <xf borderId="0" fillId="0" fontId="10" numFmtId="0" xfId="0" applyAlignment="1" applyFont="1">
      <alignment vertical="center"/>
    </xf>
    <xf borderId="0" fillId="0" fontId="18" numFmtId="0" xfId="0" applyFont="1"/>
    <xf borderId="0" fillId="0" fontId="12" numFmtId="0" xfId="0" applyAlignment="1" applyFont="1">
      <alignment horizontal="right"/>
    </xf>
    <xf borderId="26" fillId="0" fontId="10" numFmtId="0" xfId="0" applyAlignment="1" applyBorder="1" applyFont="1">
      <alignment horizontal="left"/>
    </xf>
    <xf borderId="26" fillId="0" fontId="10" numFmtId="0" xfId="0" applyBorder="1" applyFont="1"/>
    <xf borderId="26" fillId="0" fontId="9" numFmtId="0" xfId="0" applyBorder="1" applyFont="1"/>
    <xf borderId="0" fillId="0" fontId="9" numFmtId="0" xfId="0" applyFont="1"/>
    <xf borderId="0" fillId="0" fontId="10" numFmtId="0" xfId="0" applyAlignment="1" applyFont="1">
      <alignment horizontal="left"/>
    </xf>
    <xf borderId="0" fillId="0" fontId="3" numFmtId="9" xfId="0" applyAlignment="1" applyFont="1" applyNumberFormat="1">
      <alignment vertical="center"/>
    </xf>
    <xf borderId="0" fillId="0" fontId="4" numFmtId="9" xfId="0" applyFont="1" applyNumberFormat="1"/>
    <xf borderId="0" fillId="0" fontId="19" numFmtId="0" xfId="0" applyFont="1"/>
    <xf borderId="1" fillId="2" fontId="1" numFmtId="0" xfId="0" applyAlignment="1" applyBorder="1" applyFont="1">
      <alignment horizontal="center" readingOrder="0" vertical="center"/>
    </xf>
    <xf borderId="13" fillId="2" fontId="20" numFmtId="0" xfId="0" applyAlignment="1" applyBorder="1" applyFont="1">
      <alignment vertical="center"/>
    </xf>
    <xf borderId="13" fillId="2" fontId="21" numFmtId="0" xfId="0" applyBorder="1" applyFont="1"/>
    <xf borderId="1" fillId="2" fontId="6" numFmtId="0" xfId="0" applyAlignment="1" applyBorder="1" applyFont="1">
      <alignment horizontal="left" vertical="center"/>
    </xf>
    <xf borderId="8" fillId="3" fontId="8" numFmtId="0" xfId="0" applyAlignment="1" applyBorder="1" applyFont="1">
      <alignment horizontal="center" vertical="center"/>
    </xf>
    <xf borderId="9" fillId="3" fontId="9" numFmtId="0" xfId="0" applyBorder="1" applyFont="1"/>
    <xf borderId="9" fillId="3" fontId="9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left" vertical="center"/>
    </xf>
    <xf borderId="32" fillId="2" fontId="6" numFmtId="0" xfId="0" applyAlignment="1" applyBorder="1" applyFont="1">
      <alignment horizontal="left" vertical="center"/>
    </xf>
    <xf borderId="33" fillId="0" fontId="2" numFmtId="0" xfId="0" applyBorder="1" applyFont="1"/>
    <xf borderId="1" fillId="3" fontId="8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left" vertical="center"/>
    </xf>
    <xf borderId="35" fillId="0" fontId="2" numFmtId="0" xfId="0" applyBorder="1" applyFont="1"/>
    <xf borderId="11" fillId="3" fontId="6" numFmtId="0" xfId="0" applyAlignment="1" applyBorder="1" applyFont="1">
      <alignment horizontal="left" vertical="center"/>
    </xf>
    <xf borderId="11" fillId="3" fontId="8" numFmtId="0" xfId="0" applyAlignment="1" applyBorder="1" applyFont="1">
      <alignment horizontal="center" vertical="center"/>
    </xf>
    <xf borderId="11" fillId="10" fontId="7" numFmtId="0" xfId="0" applyAlignment="1" applyBorder="1" applyFill="1" applyFont="1">
      <alignment horizontal="center" vertical="center"/>
    </xf>
    <xf borderId="1" fillId="11" fontId="6" numFmtId="0" xfId="0" applyAlignment="1" applyBorder="1" applyFill="1" applyFont="1">
      <alignment horizontal="left" vertical="center"/>
    </xf>
    <xf borderId="11" fillId="2" fontId="10" numFmtId="0" xfId="0" applyAlignment="1" applyBorder="1" applyFont="1">
      <alignment horizontal="left" shrinkToFit="0" vertical="center" wrapText="1"/>
    </xf>
    <xf borderId="11" fillId="2" fontId="10" numFmtId="0" xfId="0" applyAlignment="1" applyBorder="1" applyFont="1">
      <alignment horizontal="center" shrinkToFit="0" vertical="center" wrapText="1"/>
    </xf>
    <xf borderId="11" fillId="2" fontId="10" numFmtId="0" xfId="0" applyAlignment="1" applyBorder="1" applyFont="1">
      <alignment horizontal="center" vertical="center"/>
    </xf>
    <xf borderId="13" fillId="2" fontId="10" numFmtId="0" xfId="0" applyBorder="1" applyFont="1"/>
    <xf borderId="0" fillId="0" fontId="22" numFmtId="0" xfId="0" applyFont="1"/>
    <xf borderId="36" fillId="0" fontId="22" numFmtId="0" xfId="0" applyBorder="1" applyFont="1"/>
    <xf borderId="37" fillId="0" fontId="22" numFmtId="0" xfId="0" applyBorder="1" applyFont="1"/>
    <xf borderId="37" fillId="0" fontId="23" numFmtId="0" xfId="0" applyBorder="1" applyFont="1"/>
    <xf borderId="37" fillId="0" fontId="24" numFmtId="0" xfId="0" applyAlignment="1" applyBorder="1" applyFont="1">
      <alignment horizontal="center" vertical="center"/>
    </xf>
    <xf borderId="37" fillId="0" fontId="2" numFmtId="0" xfId="0" applyBorder="1" applyFont="1"/>
    <xf borderId="38" fillId="0" fontId="2" numFmtId="0" xfId="0" applyBorder="1" applyFont="1"/>
    <xf borderId="37" fillId="0" fontId="22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39" fillId="0" fontId="22" numFmtId="0" xfId="0" applyBorder="1" applyFont="1"/>
    <xf borderId="0" fillId="0" fontId="23" numFmtId="0" xfId="0" applyFont="1"/>
    <xf borderId="0" fillId="0" fontId="23" numFmtId="0" xfId="0" applyAlignment="1" applyFont="1">
      <alignment vertical="center"/>
    </xf>
    <xf borderId="40" fillId="0" fontId="2" numFmtId="0" xfId="0" applyBorder="1" applyFont="1"/>
    <xf borderId="41" fillId="0" fontId="22" numFmtId="0" xfId="0" applyBorder="1" applyFont="1"/>
    <xf borderId="42" fillId="0" fontId="22" numFmtId="0" xfId="0" applyBorder="1" applyFont="1"/>
    <xf borderId="42" fillId="0" fontId="23" numFmtId="0" xfId="0" applyBorder="1" applyFont="1"/>
    <xf borderId="42" fillId="0" fontId="23" numFmtId="0" xfId="0" applyAlignment="1" applyBorder="1" applyFont="1">
      <alignment vertical="center"/>
    </xf>
    <xf borderId="42" fillId="0" fontId="2" numFmtId="0" xfId="0" applyBorder="1" applyFont="1"/>
    <xf borderId="43" fillId="0" fontId="2" numFmtId="0" xfId="0" applyBorder="1" applyFont="1"/>
    <xf borderId="37" fillId="0" fontId="23" numFmtId="0" xfId="0" applyAlignment="1" applyBorder="1" applyFont="1">
      <alignment horizontal="center"/>
    </xf>
    <xf borderId="37" fillId="0" fontId="22" numFmtId="0" xfId="0" applyAlignment="1" applyBorder="1" applyFont="1">
      <alignment horizontal="center" shrinkToFit="0" wrapText="1"/>
    </xf>
    <xf borderId="38" fillId="0" fontId="22" numFmtId="0" xfId="0" applyAlignment="1" applyBorder="1" applyFont="1">
      <alignment horizontal="center" shrinkToFit="0" wrapText="1"/>
    </xf>
    <xf borderId="0" fillId="0" fontId="22" numFmtId="0" xfId="0" applyAlignment="1" applyFont="1">
      <alignment horizontal="center" shrinkToFit="0" wrapText="1"/>
    </xf>
    <xf borderId="0" fillId="0" fontId="22" numFmtId="0" xfId="0" applyAlignment="1" applyFont="1">
      <alignment horizontal="right"/>
    </xf>
    <xf borderId="44" fillId="0" fontId="22" numFmtId="164" xfId="0" applyAlignment="1" applyBorder="1" applyFont="1" applyNumberFormat="1">
      <alignment horizontal="center"/>
    </xf>
    <xf borderId="44" fillId="0" fontId="2" numFmtId="0" xfId="0" applyBorder="1" applyFont="1"/>
    <xf borderId="40" fillId="0" fontId="22" numFmtId="0" xfId="0" applyBorder="1" applyFont="1"/>
    <xf borderId="44" fillId="0" fontId="22" numFmtId="0" xfId="0" applyBorder="1" applyFont="1"/>
    <xf borderId="45" fillId="0" fontId="22" numFmtId="0" xfId="0" applyAlignment="1" applyBorder="1" applyFont="1">
      <alignment horizontal="center"/>
    </xf>
    <xf borderId="45" fillId="0" fontId="2" numFmtId="0" xfId="0" applyBorder="1" applyFont="1"/>
    <xf borderId="44" fillId="0" fontId="22" numFmtId="0" xfId="0" applyAlignment="1" applyBorder="1" applyFont="1">
      <alignment horizontal="center"/>
    </xf>
    <xf borderId="46" fillId="0" fontId="22" numFmtId="0" xfId="0" applyAlignment="1" applyBorder="1" applyFont="1">
      <alignment horizontal="right"/>
    </xf>
    <xf borderId="45" fillId="0" fontId="22" numFmtId="0" xfId="0" applyBorder="1" applyFont="1"/>
    <xf borderId="42" fillId="0" fontId="22" numFmtId="0" xfId="0" applyAlignment="1" applyBorder="1" applyFont="1">
      <alignment vertical="center"/>
    </xf>
    <xf borderId="43" fillId="0" fontId="22" numFmtId="0" xfId="0" applyBorder="1" applyFont="1"/>
    <xf borderId="37" fillId="0" fontId="22" numFmtId="0" xfId="0" applyAlignment="1" applyBorder="1" applyFont="1">
      <alignment vertical="center"/>
    </xf>
    <xf borderId="38" fillId="0" fontId="22" numFmtId="0" xfId="0" applyBorder="1" applyFont="1"/>
    <xf borderId="0" fillId="0" fontId="25" numFmtId="0" xfId="0" applyFont="1"/>
    <xf borderId="39" fillId="0" fontId="25" numFmtId="0" xfId="0" applyBorder="1" applyFont="1"/>
    <xf borderId="30" fillId="0" fontId="25" numFmtId="0" xfId="0" applyAlignment="1" applyBorder="1" applyFont="1">
      <alignment horizontal="center" vertical="center"/>
    </xf>
    <xf borderId="31" fillId="0" fontId="25" numFmtId="0" xfId="0" applyAlignment="1" applyBorder="1" applyFont="1">
      <alignment horizontal="center" vertical="center"/>
    </xf>
    <xf borderId="47" fillId="0" fontId="2" numFmtId="0" xfId="0" applyBorder="1" applyFont="1"/>
    <xf borderId="48" fillId="0" fontId="2" numFmtId="0" xfId="0" applyBorder="1" applyFont="1"/>
    <xf borderId="30" fillId="0" fontId="25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vertical="top"/>
    </xf>
    <xf borderId="40" fillId="0" fontId="25" numFmtId="0" xfId="0" applyBorder="1" applyFont="1"/>
    <xf borderId="39" fillId="0" fontId="25" numFmtId="0" xfId="0" applyAlignment="1" applyBorder="1" applyFont="1">
      <alignment vertical="center"/>
    </xf>
    <xf borderId="11" fillId="0" fontId="26" numFmtId="0" xfId="0" applyAlignment="1" applyBorder="1" applyFont="1">
      <alignment horizontal="center" vertical="center"/>
    </xf>
    <xf borderId="0" fillId="0" fontId="25" numFmtId="0" xfId="0" applyAlignment="1" applyFont="1">
      <alignment vertical="center"/>
    </xf>
    <xf borderId="30" fillId="0" fontId="25" numFmtId="0" xfId="0" applyAlignment="1" applyBorder="1" applyFont="1">
      <alignment horizontal="center"/>
    </xf>
    <xf borderId="0" fillId="0" fontId="27" numFmtId="0" xfId="0" applyFont="1"/>
    <xf borderId="49" fillId="0" fontId="25" numFmtId="0" xfId="0" applyAlignment="1" applyBorder="1" applyFont="1">
      <alignment horizontal="center" vertical="center"/>
    </xf>
    <xf borderId="24" fillId="0" fontId="25" numFmtId="0" xfId="0" applyAlignment="1" applyBorder="1" applyFont="1">
      <alignment horizontal="center" vertical="center"/>
    </xf>
    <xf borderId="40" fillId="0" fontId="25" numFmtId="0" xfId="0" applyAlignment="1" applyBorder="1" applyFont="1">
      <alignment vertical="center"/>
    </xf>
    <xf borderId="50" fillId="0" fontId="25" numFmtId="0" xfId="0" applyAlignment="1" applyBorder="1" applyFont="1">
      <alignment horizontal="center" vertical="center"/>
    </xf>
    <xf borderId="45" fillId="0" fontId="25" numFmtId="0" xfId="0" applyAlignment="1" applyBorder="1" applyFont="1">
      <alignment vertical="center"/>
    </xf>
    <xf borderId="51" fillId="0" fontId="25" numFmtId="0" xfId="0" applyAlignment="1" applyBorder="1" applyFont="1">
      <alignment horizontal="center" vertical="center"/>
    </xf>
    <xf borderId="46" fillId="0" fontId="25" numFmtId="0" xfId="0" applyAlignment="1" applyBorder="1" applyFont="1">
      <alignment vertical="center"/>
    </xf>
    <xf borderId="24" fillId="0" fontId="25" numFmtId="0" xfId="0" applyAlignment="1" applyBorder="1" applyFont="1">
      <alignment horizontal="center"/>
    </xf>
    <xf borderId="44" fillId="0" fontId="25" numFmtId="0" xfId="0" applyAlignment="1" applyBorder="1" applyFont="1">
      <alignment vertical="center"/>
    </xf>
    <xf borderId="44" fillId="0" fontId="25" numFmtId="0" xfId="0" applyAlignment="1" applyBorder="1" applyFont="1">
      <alignment horizontal="left" shrinkToFit="0" vertical="top" wrapText="1"/>
    </xf>
    <xf borderId="52" fillId="0" fontId="2" numFmtId="0" xfId="0" applyBorder="1" applyFont="1"/>
    <xf borderId="45" fillId="0" fontId="25" numFmtId="0" xfId="0" applyAlignment="1" applyBorder="1" applyFont="1">
      <alignment horizontal="left" shrinkToFit="0" vertical="top" wrapText="1"/>
    </xf>
    <xf borderId="53" fillId="0" fontId="2" numFmtId="0" xfId="0" applyBorder="1" applyFont="1"/>
    <xf borderId="45" fillId="0" fontId="25" numFmtId="0" xfId="0" applyAlignment="1" applyBorder="1" applyFont="1">
      <alignment vertical="top"/>
    </xf>
    <xf borderId="0" fillId="0" fontId="25" numFmtId="0" xfId="0" applyAlignment="1" applyFont="1">
      <alignment vertical="top"/>
    </xf>
    <xf borderId="45" fillId="0" fontId="25" numFmtId="0" xfId="0" applyAlignment="1" applyBorder="1" applyFont="1">
      <alignment horizontal="center" shrinkToFit="0" vertical="top" wrapText="1"/>
    </xf>
    <xf borderId="54" fillId="0" fontId="25" numFmtId="0" xfId="0" applyAlignment="1" applyBorder="1" applyFont="1">
      <alignment horizontal="center" vertical="center"/>
    </xf>
    <xf borderId="55" fillId="0" fontId="25" numFmtId="0" xfId="0" applyAlignment="1" applyBorder="1" applyFont="1">
      <alignment vertical="center"/>
    </xf>
    <xf borderId="56" fillId="0" fontId="25" numFmtId="0" xfId="0" applyAlignment="1" applyBorder="1" applyFont="1">
      <alignment horizontal="center" vertical="center"/>
    </xf>
    <xf borderId="41" fillId="0" fontId="25" numFmtId="0" xfId="0" applyBorder="1" applyFont="1"/>
    <xf borderId="42" fillId="0" fontId="25" numFmtId="0" xfId="0" applyAlignment="1" applyBorder="1" applyFont="1">
      <alignment horizontal="center"/>
    </xf>
    <xf borderId="42" fillId="0" fontId="25" numFmtId="0" xfId="0" applyBorder="1" applyFont="1"/>
    <xf borderId="42" fillId="0" fontId="25" numFmtId="0" xfId="0" applyAlignment="1" applyBorder="1" applyFont="1">
      <alignment horizontal="right"/>
    </xf>
    <xf borderId="43" fillId="0" fontId="25" numFmtId="0" xfId="0" applyBorder="1" applyFont="1"/>
    <xf borderId="37" fillId="0" fontId="22" numFmtId="0" xfId="0" applyAlignment="1" applyBorder="1" applyFont="1">
      <alignment horizontal="center"/>
    </xf>
    <xf borderId="44" fillId="0" fontId="25" numFmtId="0" xfId="0" applyAlignment="1" applyBorder="1" applyFont="1">
      <alignment horizontal="left" shrinkToFit="0" vertical="center" wrapText="1"/>
    </xf>
    <xf borderId="0" fillId="0" fontId="22" numFmtId="0" xfId="0" applyAlignment="1" applyFont="1">
      <alignment vertical="center"/>
    </xf>
    <xf borderId="1" fillId="0" fontId="25" numFmtId="0" xfId="0" applyAlignment="1" applyBorder="1" applyFont="1">
      <alignment horizontal="center" vertical="center"/>
    </xf>
    <xf borderId="2" fillId="0" fontId="25" numFmtId="0" xfId="0" applyAlignment="1" applyBorder="1" applyFont="1">
      <alignment vertical="center"/>
    </xf>
    <xf borderId="3" fillId="0" fontId="28" numFmtId="0" xfId="0" applyAlignment="1" applyBorder="1" applyFont="1">
      <alignment horizontal="right" vertical="center"/>
    </xf>
    <xf borderId="11" fillId="0" fontId="24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8" numFmtId="0" xfId="0" applyAlignment="1" applyFont="1">
      <alignment vertical="center"/>
    </xf>
    <xf borderId="3" fillId="0" fontId="25" numFmtId="0" xfId="0" applyAlignment="1" applyBorder="1" applyFont="1">
      <alignment horizontal="right" vertical="center"/>
    </xf>
    <xf borderId="1" fillId="0" fontId="22" numFmtId="1" xfId="0" applyAlignment="1" applyBorder="1" applyFont="1" applyNumberFormat="1">
      <alignment horizontal="center" vertical="center"/>
    </xf>
    <xf borderId="39" fillId="0" fontId="22" numFmtId="0" xfId="0" applyAlignment="1" applyBorder="1" applyFont="1">
      <alignment vertical="center"/>
    </xf>
    <xf borderId="0" fillId="0" fontId="23" numFmtId="0" xfId="0" applyAlignment="1" applyFont="1">
      <alignment horizontal="left" vertical="center"/>
    </xf>
    <xf borderId="0" fillId="0" fontId="22" numFmtId="0" xfId="0" applyAlignment="1" applyFont="1">
      <alignment horizontal="center" vertical="center"/>
    </xf>
    <xf borderId="1" fillId="0" fontId="28" numFmtId="0" xfId="0" applyAlignment="1" applyBorder="1" applyFont="1">
      <alignment horizontal="center" vertical="center"/>
    </xf>
    <xf borderId="3" fillId="0" fontId="28" numFmtId="0" xfId="0" applyAlignment="1" applyBorder="1" applyFont="1">
      <alignment horizontal="center" vertical="center"/>
    </xf>
    <xf borderId="1" fillId="0" fontId="28" numFmtId="2" xfId="0" applyAlignment="1" applyBorder="1" applyFont="1" applyNumberFormat="1">
      <alignment horizontal="center" vertical="center"/>
    </xf>
    <xf borderId="40" fillId="0" fontId="22" numFmtId="0" xfId="0" applyAlignment="1" applyBorder="1" applyFont="1">
      <alignment vertical="center"/>
    </xf>
    <xf borderId="0" fillId="0" fontId="22" numFmtId="0" xfId="0" applyAlignment="1" applyFont="1">
      <alignment horizontal="left" vertical="center"/>
    </xf>
    <xf borderId="44" fillId="0" fontId="22" numFmtId="0" xfId="0" applyAlignment="1" applyBorder="1" applyFont="1">
      <alignment horizontal="center" vertical="center"/>
    </xf>
    <xf borderId="44" fillId="0" fontId="22" numFmtId="0" xfId="0" applyAlignment="1" applyBorder="1" applyFont="1">
      <alignment vertical="center"/>
    </xf>
    <xf borderId="45" fillId="0" fontId="22" numFmtId="0" xfId="0" applyAlignment="1" applyBorder="1" applyFont="1">
      <alignment horizontal="center" vertical="center"/>
    </xf>
    <xf borderId="45" fillId="0" fontId="22" numFmtId="0" xfId="0" applyAlignment="1" applyBorder="1" applyFont="1">
      <alignment vertical="center"/>
    </xf>
    <xf borderId="0" fillId="0" fontId="22" numFmtId="0" xfId="0" applyAlignment="1" applyFont="1">
      <alignment horizontal="left"/>
    </xf>
    <xf borderId="39" fillId="0" fontId="22" numFmtId="0" xfId="0" applyAlignment="1" applyBorder="1" applyFont="1">
      <alignment horizontal="left"/>
    </xf>
    <xf borderId="44" fillId="0" fontId="22" numFmtId="0" xfId="0" applyAlignment="1" applyBorder="1" applyFont="1">
      <alignment horizontal="left"/>
    </xf>
    <xf borderId="44" fillId="0" fontId="22" numFmtId="0" xfId="0" applyAlignment="1" applyBorder="1" applyFont="1">
      <alignment horizontal="left" vertical="center"/>
    </xf>
    <xf borderId="40" fillId="0" fontId="22" numFmtId="0" xfId="0" applyAlignment="1" applyBorder="1" applyFont="1">
      <alignment horizontal="left"/>
    </xf>
    <xf borderId="45" fillId="0" fontId="22" numFmtId="164" xfId="0" applyAlignment="1" applyBorder="1" applyFont="1" applyNumberFormat="1">
      <alignment horizontal="center"/>
    </xf>
    <xf borderId="0" fillId="0" fontId="22" numFmtId="0" xfId="0" applyAlignment="1" applyFont="1">
      <alignment horizontal="center"/>
    </xf>
    <xf borderId="42" fillId="0" fontId="22" numFmtId="0" xfId="0" applyAlignment="1" applyBorder="1" applyFont="1">
      <alignment horizontal="center"/>
    </xf>
    <xf borderId="0" fillId="0" fontId="27" numFmtId="0" xfId="0" applyAlignment="1" applyFont="1">
      <alignment vertical="center"/>
    </xf>
    <xf borderId="39" fillId="0" fontId="25" numFmtId="0" xfId="0" applyAlignment="1" applyBorder="1" applyFont="1">
      <alignment vertical="top"/>
    </xf>
    <xf borderId="50" fillId="0" fontId="25" numFmtId="0" xfId="0" applyAlignment="1" applyBorder="1" applyFont="1">
      <alignment horizontal="center" vertical="top"/>
    </xf>
    <xf borderId="40" fillId="0" fontId="25" numFmtId="0" xfId="0" applyAlignment="1" applyBorder="1" applyFont="1">
      <alignment vertical="top"/>
    </xf>
    <xf borderId="41" fillId="0" fontId="25" numFmtId="0" xfId="0" applyAlignment="1" applyBorder="1" applyFont="1">
      <alignment vertical="center"/>
    </xf>
    <xf borderId="42" fillId="0" fontId="25" numFmtId="0" xfId="0" applyAlignment="1" applyBorder="1" applyFont="1">
      <alignment horizontal="center" vertical="center"/>
    </xf>
    <xf borderId="42" fillId="0" fontId="25" numFmtId="0" xfId="0" applyAlignment="1" applyBorder="1" applyFont="1">
      <alignment vertical="center"/>
    </xf>
    <xf borderId="43" fillId="0" fontId="25" numFmtId="0" xfId="0" applyAlignment="1" applyBorder="1" applyFont="1">
      <alignment vertical="center"/>
    </xf>
    <xf borderId="36" fillId="0" fontId="22" numFmtId="0" xfId="0" applyAlignment="1" applyBorder="1" applyFont="1">
      <alignment vertical="center"/>
    </xf>
    <xf borderId="37" fillId="0" fontId="22" numFmtId="0" xfId="0" applyAlignment="1" applyBorder="1" applyFont="1">
      <alignment horizontal="center" vertical="center"/>
    </xf>
    <xf borderId="38" fillId="0" fontId="22" numFmtId="0" xfId="0" applyAlignment="1" applyBorder="1" applyFont="1">
      <alignment vertical="center"/>
    </xf>
    <xf borderId="1" fillId="0" fontId="22" numFmtId="0" xfId="0" applyAlignment="1" applyBorder="1" applyFont="1">
      <alignment horizontal="center" vertical="center"/>
    </xf>
    <xf borderId="2" fillId="0" fontId="22" numFmtId="0" xfId="0" applyAlignment="1" applyBorder="1" applyFont="1">
      <alignment vertical="center"/>
    </xf>
    <xf borderId="3" fillId="0" fontId="22" numFmtId="0" xfId="0" applyAlignment="1" applyBorder="1" applyFont="1">
      <alignment horizontal="right" vertical="center"/>
    </xf>
    <xf borderId="11" fillId="0" fontId="23" numFmtId="0" xfId="0" applyAlignment="1" applyBorder="1" applyFont="1">
      <alignment horizontal="center" vertical="center"/>
    </xf>
    <xf borderId="1" fillId="0" fontId="25" numFmtId="3" xfId="0" applyAlignment="1" applyBorder="1" applyFont="1" applyNumberFormat="1">
      <alignment horizontal="center" vertical="center"/>
    </xf>
    <xf borderId="39" fillId="0" fontId="28" numFmtId="0" xfId="0" applyAlignment="1" applyBorder="1" applyFont="1">
      <alignment vertical="center"/>
    </xf>
    <xf borderId="0" fillId="0" fontId="24" numFmtId="0" xfId="0" applyAlignment="1" applyFont="1">
      <alignment horizontal="left" vertical="center"/>
    </xf>
    <xf borderId="0" fillId="0" fontId="28" numFmtId="0" xfId="0" applyAlignment="1" applyFont="1">
      <alignment horizontal="center" vertical="center"/>
    </xf>
    <xf borderId="40" fillId="0" fontId="28" numFmtId="0" xfId="0" applyAlignment="1" applyBorder="1" applyFont="1">
      <alignment vertical="center"/>
    </xf>
    <xf borderId="0" fillId="0" fontId="28" numFmtId="0" xfId="0" applyAlignment="1" applyFont="1">
      <alignment horizontal="left" vertical="center"/>
    </xf>
    <xf borderId="45" fillId="0" fontId="25" numFmtId="0" xfId="0" applyAlignment="1" applyBorder="1" applyFont="1">
      <alignment horizontal="left" shrinkToFit="0" vertical="center" wrapText="1"/>
    </xf>
    <xf borderId="41" fillId="0" fontId="22" numFmtId="0" xfId="0" applyAlignment="1" applyBorder="1" applyFont="1">
      <alignment vertical="center"/>
    </xf>
    <xf borderId="42" fillId="0" fontId="22" numFmtId="0" xfId="0" applyAlignment="1" applyBorder="1" applyFont="1">
      <alignment horizontal="center" vertical="center"/>
    </xf>
    <xf borderId="42" fillId="0" fontId="22" numFmtId="0" xfId="0" applyAlignment="1" applyBorder="1" applyFont="1">
      <alignment horizontal="right" vertical="center"/>
    </xf>
    <xf borderId="43" fillId="0" fontId="22" numFmtId="0" xfId="0" applyAlignment="1" applyBorder="1" applyFont="1">
      <alignment vertical="center"/>
    </xf>
    <xf borderId="37" fillId="0" fontId="23" numFmtId="0" xfId="0" applyAlignment="1" applyBorder="1" applyFont="1">
      <alignment horizontal="left"/>
    </xf>
    <xf borderId="0" fillId="0" fontId="28" numFmtId="0" xfId="0" applyFont="1"/>
    <xf borderId="41" fillId="0" fontId="28" numFmtId="0" xfId="0" applyBorder="1" applyFont="1"/>
    <xf borderId="42" fillId="0" fontId="28" numFmtId="0" xfId="0" applyAlignment="1" applyBorder="1" applyFont="1">
      <alignment horizontal="center"/>
    </xf>
    <xf borderId="42" fillId="0" fontId="28" numFmtId="0" xfId="0" applyBorder="1" applyFont="1"/>
    <xf borderId="43" fillId="0" fontId="2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38100</xdr:rowOff>
    </xdr:from>
    <xdr:ext cx="990600" cy="361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66675</xdr:rowOff>
    </xdr:from>
    <xdr:ext cx="1009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54</xdr:row>
      <xdr:rowOff>47625</xdr:rowOff>
    </xdr:from>
    <xdr:ext cx="228600" cy="161925"/>
    <xdr:sp>
      <xdr:nvSpPr>
        <xdr:cNvPr id="3" name="Shape 3"/>
        <xdr:cNvSpPr/>
      </xdr:nvSpPr>
      <xdr:spPr>
        <a:xfrm>
          <a:off x="5236463" y="3703800"/>
          <a:ext cx="219075" cy="1524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54</xdr:row>
      <xdr:rowOff>57150</xdr:rowOff>
    </xdr:from>
    <xdr:ext cx="161925" cy="152400"/>
    <xdr:sp>
      <xdr:nvSpPr>
        <xdr:cNvPr id="4" name="Shape 4"/>
        <xdr:cNvSpPr/>
      </xdr:nvSpPr>
      <xdr:spPr>
        <a:xfrm>
          <a:off x="5269800" y="3708563"/>
          <a:ext cx="152400" cy="1428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0</xdr:row>
      <xdr:rowOff>47625</xdr:rowOff>
    </xdr:from>
    <xdr:ext cx="1866900" cy="6762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53</xdr:row>
      <xdr:rowOff>47625</xdr:rowOff>
    </xdr:from>
    <xdr:ext cx="228600" cy="161925"/>
    <xdr:sp>
      <xdr:nvSpPr>
        <xdr:cNvPr id="5" name="Shape 5"/>
        <xdr:cNvSpPr/>
      </xdr:nvSpPr>
      <xdr:spPr>
        <a:xfrm>
          <a:off x="5236463" y="3703800"/>
          <a:ext cx="219075" cy="1524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76200</xdr:colOff>
      <xdr:row>53</xdr:row>
      <xdr:rowOff>57150</xdr:rowOff>
    </xdr:from>
    <xdr:ext cx="161925" cy="152400"/>
    <xdr:sp>
      <xdr:nvSpPr>
        <xdr:cNvPr id="6" name="Shape 6"/>
        <xdr:cNvSpPr/>
      </xdr:nvSpPr>
      <xdr:spPr>
        <a:xfrm>
          <a:off x="5269800" y="3708563"/>
          <a:ext cx="152400" cy="1428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0</xdr:row>
      <xdr:rowOff>47625</xdr:rowOff>
    </xdr:from>
    <xdr:ext cx="1866900" cy="6762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36</xdr:row>
      <xdr:rowOff>47625</xdr:rowOff>
    </xdr:from>
    <xdr:ext cx="228600" cy="161925"/>
    <xdr:sp>
      <xdr:nvSpPr>
        <xdr:cNvPr id="3" name="Shape 3"/>
        <xdr:cNvSpPr/>
      </xdr:nvSpPr>
      <xdr:spPr>
        <a:xfrm>
          <a:off x="5236463" y="3703800"/>
          <a:ext cx="219075" cy="1524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36</xdr:row>
      <xdr:rowOff>57150</xdr:rowOff>
    </xdr:from>
    <xdr:ext cx="161925" cy="152400"/>
    <xdr:sp>
      <xdr:nvSpPr>
        <xdr:cNvPr id="7" name="Shape 7"/>
        <xdr:cNvSpPr/>
      </xdr:nvSpPr>
      <xdr:spPr>
        <a:xfrm>
          <a:off x="5269800" y="3708563"/>
          <a:ext cx="152400" cy="1428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266700</xdr:colOff>
      <xdr:row>36</xdr:row>
      <xdr:rowOff>47625</xdr:rowOff>
    </xdr:from>
    <xdr:ext cx="228600" cy="161925"/>
    <xdr:sp>
      <xdr:nvSpPr>
        <xdr:cNvPr id="3" name="Shape 3"/>
        <xdr:cNvSpPr/>
      </xdr:nvSpPr>
      <xdr:spPr>
        <a:xfrm>
          <a:off x="5236463" y="3703800"/>
          <a:ext cx="219075" cy="1524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36</xdr:row>
      <xdr:rowOff>57150</xdr:rowOff>
    </xdr:from>
    <xdr:ext cx="161925" cy="152400"/>
    <xdr:sp>
      <xdr:nvSpPr>
        <xdr:cNvPr id="7" name="Shape 7"/>
        <xdr:cNvSpPr/>
      </xdr:nvSpPr>
      <xdr:spPr>
        <a:xfrm>
          <a:off x="5269800" y="3708563"/>
          <a:ext cx="152400" cy="1428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0</xdr:row>
      <xdr:rowOff>47625</xdr:rowOff>
    </xdr:from>
    <xdr:ext cx="1866900" cy="6762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laithong/Downloads/&#3651;&#3610;&#3592;&#3633;&#3604;&#3585;&#3632;&#3614;&#3609;&#3633;&#3585;&#3591;&#3634;&#3609;&#3607;&#3635;&#3588;&#3623;&#3634;&#3617;&#3626;&#3632;&#3629;&#3634;&#3604;&#3591;&#3623;&#3604;32%20(1&#3585;.&#3588;.63%20-%2031&#3585;.&#3588;.63)Mac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คอร์ดA "/>
      <sheetName val="คอร์ด B "/>
      <sheetName val="คอร์ด C"/>
      <sheetName val="คอร์ด D"/>
      <sheetName val="SheetA"/>
      <sheetName val="SheetB"/>
      <sheetName val="SheetC"/>
      <sheetName val="Sheet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2.63" defaultRowHeight="15.0"/>
  <cols>
    <col customWidth="1" min="1" max="1" width="7.88"/>
    <col customWidth="1" min="2" max="2" width="27.13"/>
    <col customWidth="1" min="3" max="3" width="23.75"/>
    <col customWidth="1" min="4" max="4" width="78.25"/>
    <col customWidth="1" min="5" max="5" width="12.0"/>
    <col customWidth="1" min="6" max="6" width="41.88"/>
    <col customWidth="1" min="7" max="8" width="24.38"/>
    <col customWidth="1" min="9" max="9" width="74.0"/>
    <col customWidth="1" min="10" max="10" width="24.38"/>
    <col customWidth="1" min="11" max="11" width="29.38"/>
    <col customWidth="1" min="12" max="12" width="19.63"/>
    <col customWidth="1" min="13" max="23" width="7.0"/>
    <col customWidth="1" min="24" max="26" width="11.63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6"/>
      <c r="Z1" s="6"/>
    </row>
    <row r="2" ht="25.5" customHeight="1">
      <c r="A2" s="7" t="s">
        <v>1</v>
      </c>
      <c r="B2" s="8"/>
      <c r="C2" s="8"/>
      <c r="D2" s="8"/>
      <c r="E2" s="9" t="s">
        <v>2</v>
      </c>
      <c r="F2" s="10"/>
      <c r="G2" s="10"/>
      <c r="H2" s="10"/>
      <c r="I2" s="10"/>
      <c r="J2" s="10"/>
      <c r="K2" s="10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  <c r="Y2" s="14"/>
      <c r="Z2" s="14"/>
    </row>
    <row r="3" ht="25.5" customHeight="1">
      <c r="A3" s="7" t="s">
        <v>3</v>
      </c>
      <c r="B3" s="8"/>
      <c r="C3" s="8"/>
      <c r="D3" s="15"/>
      <c r="E3" s="9" t="s">
        <v>4</v>
      </c>
      <c r="F3" s="10"/>
      <c r="G3" s="10"/>
      <c r="H3" s="10"/>
      <c r="I3" s="10"/>
      <c r="J3" s="10"/>
      <c r="K3" s="10"/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14"/>
      <c r="Z3" s="14"/>
    </row>
    <row r="4" ht="28.5" customHeight="1">
      <c r="A4" s="7" t="s">
        <v>5</v>
      </c>
      <c r="B4" s="8"/>
      <c r="C4" s="8"/>
      <c r="D4" s="15"/>
      <c r="E4" s="9" t="s">
        <v>6</v>
      </c>
      <c r="F4" s="9" t="s">
        <v>7</v>
      </c>
      <c r="G4" s="10"/>
      <c r="H4" s="10"/>
      <c r="I4" s="10"/>
      <c r="J4" s="10"/>
      <c r="K4" s="10"/>
      <c r="L4" s="1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14"/>
      <c r="Z4" s="14"/>
    </row>
    <row r="5" ht="24.75" customHeight="1">
      <c r="A5" s="16" t="s">
        <v>8</v>
      </c>
      <c r="B5" s="17"/>
      <c r="C5" s="18"/>
      <c r="D5" s="17"/>
      <c r="E5" s="19"/>
      <c r="F5" s="18"/>
      <c r="G5" s="18"/>
      <c r="H5" s="18"/>
      <c r="I5" s="18"/>
      <c r="J5" s="18"/>
      <c r="K5" s="18"/>
      <c r="L5" s="20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3"/>
      <c r="Y5" s="14"/>
      <c r="Z5" s="14"/>
    </row>
    <row r="6">
      <c r="A6" s="21" t="s">
        <v>9</v>
      </c>
      <c r="B6" s="22" t="s">
        <v>10</v>
      </c>
      <c r="C6" s="21" t="s">
        <v>11</v>
      </c>
      <c r="D6" s="21" t="s">
        <v>12</v>
      </c>
      <c r="E6" s="22" t="s">
        <v>13</v>
      </c>
      <c r="F6" s="23">
        <v>1.0</v>
      </c>
      <c r="G6" s="22">
        <v>2.0</v>
      </c>
      <c r="H6" s="22">
        <v>3.0</v>
      </c>
      <c r="I6" s="22">
        <v>4.0</v>
      </c>
      <c r="J6" s="22">
        <v>5.0</v>
      </c>
      <c r="K6" s="24" t="s">
        <v>14</v>
      </c>
      <c r="L6" s="24" t="s">
        <v>15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3"/>
      <c r="Y6" s="14"/>
      <c r="Z6" s="14"/>
    </row>
    <row r="7">
      <c r="A7" s="25" t="s">
        <v>16</v>
      </c>
      <c r="B7" s="25"/>
      <c r="C7" s="25"/>
      <c r="D7" s="25"/>
      <c r="E7" s="26"/>
      <c r="F7" s="27"/>
      <c r="G7" s="27"/>
      <c r="H7" s="27"/>
      <c r="I7" s="27"/>
      <c r="J7" s="27"/>
      <c r="K7" s="27"/>
      <c r="L7" s="28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  <c r="Y7" s="14"/>
      <c r="Z7" s="14"/>
    </row>
    <row r="8" ht="49.5" customHeight="1">
      <c r="A8" s="29">
        <v>1.1</v>
      </c>
      <c r="B8" s="30" t="s">
        <v>17</v>
      </c>
      <c r="C8" s="30" t="s">
        <v>18</v>
      </c>
      <c r="D8" s="30" t="s">
        <v>19</v>
      </c>
      <c r="E8" s="31">
        <v>0.2</v>
      </c>
      <c r="F8" s="32" t="s">
        <v>20</v>
      </c>
      <c r="G8" s="29" t="s">
        <v>21</v>
      </c>
      <c r="H8" s="29" t="s">
        <v>19</v>
      </c>
      <c r="I8" s="29" t="s">
        <v>22</v>
      </c>
      <c r="J8" s="33" t="s">
        <v>23</v>
      </c>
      <c r="K8" s="29" t="s">
        <v>24</v>
      </c>
      <c r="L8" s="29">
        <v>5.0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3"/>
      <c r="Y8" s="14"/>
      <c r="Z8" s="14"/>
    </row>
    <row r="9">
      <c r="A9" s="25" t="s">
        <v>25</v>
      </c>
      <c r="B9" s="25"/>
      <c r="C9" s="25"/>
      <c r="D9" s="25"/>
      <c r="E9" s="34"/>
      <c r="F9" s="27"/>
      <c r="G9" s="27"/>
      <c r="H9" s="27"/>
      <c r="I9" s="27"/>
      <c r="J9" s="27"/>
      <c r="K9" s="27"/>
      <c r="L9" s="3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3"/>
      <c r="Y9" s="14"/>
      <c r="Z9" s="14"/>
    </row>
    <row r="10" ht="75.0" customHeight="1">
      <c r="A10" s="36">
        <v>2.1</v>
      </c>
      <c r="B10" s="37" t="s">
        <v>26</v>
      </c>
      <c r="C10" s="38" t="s">
        <v>18</v>
      </c>
      <c r="D10" s="37" t="s">
        <v>27</v>
      </c>
      <c r="E10" s="39">
        <v>0.05</v>
      </c>
      <c r="F10" s="40" t="s">
        <v>28</v>
      </c>
      <c r="G10" s="40" t="s">
        <v>29</v>
      </c>
      <c r="H10" s="40" t="s">
        <v>30</v>
      </c>
      <c r="I10" s="40" t="s">
        <v>31</v>
      </c>
      <c r="J10" s="40" t="s">
        <v>32</v>
      </c>
      <c r="K10" s="40" t="s">
        <v>30</v>
      </c>
      <c r="L10" s="36">
        <v>3.0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3"/>
      <c r="Y10" s="14"/>
      <c r="Z10" s="14"/>
    </row>
    <row r="11">
      <c r="A11" s="36">
        <v>2.2</v>
      </c>
      <c r="B11" s="37" t="s">
        <v>26</v>
      </c>
      <c r="C11" s="38" t="s">
        <v>18</v>
      </c>
      <c r="D11" s="37" t="s">
        <v>33</v>
      </c>
      <c r="E11" s="39">
        <v>0.05</v>
      </c>
      <c r="F11" s="36" t="s">
        <v>34</v>
      </c>
      <c r="G11" s="36" t="s">
        <v>35</v>
      </c>
      <c r="H11" s="36" t="s">
        <v>36</v>
      </c>
      <c r="I11" s="36" t="s">
        <v>37</v>
      </c>
      <c r="J11" s="36" t="s">
        <v>38</v>
      </c>
      <c r="K11" s="36" t="s">
        <v>39</v>
      </c>
      <c r="L11" s="36">
        <v>5.0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3"/>
      <c r="Y11" s="14"/>
      <c r="Z11" s="14"/>
    </row>
    <row r="12" ht="42.0" customHeight="1">
      <c r="A12" s="41">
        <v>2.3</v>
      </c>
      <c r="B12" s="42" t="s">
        <v>26</v>
      </c>
      <c r="C12" s="43" t="s">
        <v>40</v>
      </c>
      <c r="D12" s="43" t="s">
        <v>41</v>
      </c>
      <c r="E12" s="44">
        <v>0.4</v>
      </c>
      <c r="F12" s="45" t="s">
        <v>42</v>
      </c>
      <c r="G12" s="41" t="s">
        <v>43</v>
      </c>
      <c r="H12" s="41" t="s">
        <v>44</v>
      </c>
      <c r="I12" s="41" t="s">
        <v>45</v>
      </c>
      <c r="J12" s="41" t="s">
        <v>46</v>
      </c>
      <c r="K12" s="41" t="s">
        <v>45</v>
      </c>
      <c r="L12" s="41">
        <v>4.0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7"/>
      <c r="Y12" s="48"/>
      <c r="Z12" s="48"/>
    </row>
    <row r="13" ht="42.0" customHeight="1">
      <c r="A13" s="49"/>
      <c r="B13" s="50"/>
      <c r="C13" s="43" t="s">
        <v>40</v>
      </c>
      <c r="D13" s="43" t="s">
        <v>41</v>
      </c>
      <c r="E13" s="44">
        <v>0.1</v>
      </c>
      <c r="F13" s="49"/>
      <c r="G13" s="49"/>
      <c r="H13" s="49"/>
      <c r="I13" s="49"/>
      <c r="J13" s="49"/>
      <c r="K13" s="49"/>
      <c r="L13" s="49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7"/>
      <c r="Y13" s="48"/>
      <c r="Z13" s="48"/>
    </row>
    <row r="14" ht="24.75" customHeight="1">
      <c r="A14" s="25" t="s">
        <v>47</v>
      </c>
      <c r="B14" s="25"/>
      <c r="C14" s="25"/>
      <c r="D14" s="25"/>
      <c r="E14" s="34"/>
      <c r="F14" s="27"/>
      <c r="G14" s="27"/>
      <c r="H14" s="27"/>
      <c r="I14" s="27"/>
      <c r="J14" s="27"/>
      <c r="K14" s="25"/>
      <c r="L14" s="5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6"/>
    </row>
    <row r="15">
      <c r="A15" s="36">
        <v>3.1</v>
      </c>
      <c r="B15" s="37" t="s">
        <v>48</v>
      </c>
      <c r="C15" s="38" t="s">
        <v>18</v>
      </c>
      <c r="D15" s="37" t="s">
        <v>49</v>
      </c>
      <c r="E15" s="39">
        <v>0.1</v>
      </c>
      <c r="F15" s="40" t="s">
        <v>50</v>
      </c>
      <c r="G15" s="36" t="s">
        <v>51</v>
      </c>
      <c r="H15" s="36" t="s">
        <v>52</v>
      </c>
      <c r="I15" s="36" t="s">
        <v>53</v>
      </c>
      <c r="J15" s="36" t="s">
        <v>54</v>
      </c>
      <c r="K15" s="36" t="s">
        <v>55</v>
      </c>
      <c r="L15" s="36">
        <v>5.0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3"/>
      <c r="Y15" s="14"/>
      <c r="Z15" s="14"/>
    </row>
    <row r="16" ht="24.75" customHeight="1">
      <c r="A16" s="25" t="s">
        <v>56</v>
      </c>
      <c r="B16" s="25"/>
      <c r="C16" s="25"/>
      <c r="D16" s="25"/>
      <c r="E16" s="25"/>
      <c r="F16" s="26"/>
      <c r="G16" s="27"/>
      <c r="H16" s="27"/>
      <c r="I16" s="27"/>
      <c r="J16" s="27"/>
      <c r="K16" s="27"/>
      <c r="L16" s="2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6"/>
    </row>
    <row r="17" ht="75.0" customHeight="1">
      <c r="A17" s="52" t="s">
        <v>57</v>
      </c>
      <c r="B17" s="37" t="s">
        <v>26</v>
      </c>
      <c r="C17" s="38" t="s">
        <v>18</v>
      </c>
      <c r="D17" s="37" t="s">
        <v>58</v>
      </c>
      <c r="E17" s="53">
        <v>0.05</v>
      </c>
      <c r="F17" s="54" t="s">
        <v>59</v>
      </c>
      <c r="G17" s="2"/>
      <c r="H17" s="2"/>
      <c r="I17" s="2"/>
      <c r="J17" s="2"/>
      <c r="K17" s="3"/>
      <c r="L17" s="36">
        <v>5.0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3"/>
      <c r="Y17" s="14"/>
      <c r="Z17" s="14"/>
    </row>
    <row r="18">
      <c r="A18" s="36">
        <v>4.2</v>
      </c>
      <c r="B18" s="37" t="s">
        <v>26</v>
      </c>
      <c r="C18" s="38" t="s">
        <v>18</v>
      </c>
      <c r="D18" s="37" t="s">
        <v>60</v>
      </c>
      <c r="E18" s="39">
        <v>0.05</v>
      </c>
      <c r="F18" s="55" t="s">
        <v>61</v>
      </c>
      <c r="G18" s="56" t="s">
        <v>62</v>
      </c>
      <c r="H18" s="56" t="s">
        <v>63</v>
      </c>
      <c r="I18" s="56" t="s">
        <v>64</v>
      </c>
      <c r="J18" s="56" t="s">
        <v>65</v>
      </c>
      <c r="K18" s="56" t="s">
        <v>66</v>
      </c>
      <c r="L18" s="56">
        <v>5.0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3"/>
      <c r="Y18" s="14"/>
      <c r="Z18" s="14"/>
    </row>
    <row r="19">
      <c r="A19" s="57" t="s">
        <v>67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4"/>
      <c r="Z19" s="14"/>
    </row>
    <row r="20" ht="10.5" customHeight="1">
      <c r="A20" s="58" t="s">
        <v>68</v>
      </c>
      <c r="B20" s="59"/>
      <c r="C20" s="59"/>
      <c r="D20" s="60"/>
      <c r="E20" s="61" t="s">
        <v>69</v>
      </c>
      <c r="F20" s="62" t="s">
        <v>70</v>
      </c>
      <c r="G20" s="63" t="s">
        <v>71</v>
      </c>
      <c r="H20" s="63" t="s">
        <v>72</v>
      </c>
      <c r="I20" s="63" t="s">
        <v>73</v>
      </c>
      <c r="J20" s="64" t="s">
        <v>74</v>
      </c>
      <c r="K20" s="65" t="s">
        <v>14</v>
      </c>
      <c r="L20" s="65" t="s">
        <v>75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3"/>
      <c r="Y20" s="14"/>
      <c r="Z20" s="14"/>
    </row>
    <row r="21" ht="10.5" customHeight="1">
      <c r="A21" s="66"/>
      <c r="D21" s="67"/>
      <c r="E21" s="68"/>
      <c r="F21" s="69"/>
      <c r="G21" s="68"/>
      <c r="H21" s="68"/>
      <c r="I21" s="68"/>
      <c r="J21" s="68"/>
      <c r="K21" s="68"/>
      <c r="L21" s="68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3"/>
      <c r="Y21" s="14"/>
      <c r="Z21" s="14"/>
    </row>
    <row r="22" ht="10.5" customHeight="1">
      <c r="A22" s="66"/>
      <c r="D22" s="67"/>
      <c r="E22" s="68"/>
      <c r="F22" s="69"/>
      <c r="G22" s="68"/>
      <c r="H22" s="68"/>
      <c r="I22" s="68"/>
      <c r="J22" s="68"/>
      <c r="K22" s="68"/>
      <c r="L22" s="68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3"/>
      <c r="Y22" s="14"/>
      <c r="Z22" s="14"/>
    </row>
    <row r="23" ht="10.5" customHeight="1">
      <c r="A23" s="70"/>
      <c r="B23" s="71"/>
      <c r="C23" s="71"/>
      <c r="D23" s="72"/>
      <c r="E23" s="73"/>
      <c r="F23" s="74"/>
      <c r="G23" s="73"/>
      <c r="H23" s="73"/>
      <c r="I23" s="75"/>
      <c r="J23" s="75"/>
      <c r="K23" s="75"/>
      <c r="L23" s="73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3"/>
      <c r="Y23" s="14"/>
      <c r="Z23" s="14"/>
    </row>
    <row r="24" ht="68.25" customHeight="1">
      <c r="A24" s="76">
        <v>2.1</v>
      </c>
      <c r="B24" s="77" t="s">
        <v>76</v>
      </c>
      <c r="C24" s="78" t="s">
        <v>77</v>
      </c>
      <c r="D24" s="3"/>
      <c r="E24" s="79">
        <v>0.01</v>
      </c>
      <c r="F24" s="54"/>
      <c r="G24" s="80"/>
      <c r="H24" s="81"/>
      <c r="I24" s="82"/>
      <c r="J24" s="83">
        <v>5.0</v>
      </c>
      <c r="K24" s="84" t="s">
        <v>78</v>
      </c>
      <c r="L24" s="83">
        <v>5.0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/>
      <c r="Y24" s="14"/>
      <c r="Z24" s="14"/>
    </row>
    <row r="25" ht="68.25" customHeight="1">
      <c r="A25" s="73"/>
      <c r="B25" s="73"/>
      <c r="C25" s="78" t="s">
        <v>79</v>
      </c>
      <c r="D25" s="3"/>
      <c r="E25" s="79">
        <v>0.01</v>
      </c>
      <c r="F25" s="54"/>
      <c r="G25" s="80"/>
      <c r="H25" s="81"/>
      <c r="I25" s="82"/>
      <c r="J25" s="83">
        <v>5.0</v>
      </c>
      <c r="K25" s="84" t="s">
        <v>80</v>
      </c>
      <c r="L25" s="83">
        <v>5.0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3"/>
      <c r="Y25" s="14"/>
      <c r="Z25" s="14"/>
    </row>
    <row r="26" ht="68.25" customHeight="1">
      <c r="A26" s="76">
        <v>2.2</v>
      </c>
      <c r="B26" s="85" t="s">
        <v>81</v>
      </c>
      <c r="C26" s="86" t="s">
        <v>82</v>
      </c>
      <c r="D26" s="3"/>
      <c r="E26" s="79">
        <v>0.01</v>
      </c>
      <c r="F26" s="54"/>
      <c r="G26" s="80"/>
      <c r="H26" s="81"/>
      <c r="I26" s="82"/>
      <c r="J26" s="83">
        <v>5.0</v>
      </c>
      <c r="K26" s="84" t="s">
        <v>83</v>
      </c>
      <c r="L26" s="83">
        <v>5.0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3"/>
      <c r="Y26" s="14"/>
      <c r="Z26" s="14"/>
    </row>
    <row r="27" ht="68.25" customHeight="1">
      <c r="A27" s="73"/>
      <c r="B27" s="73"/>
      <c r="C27" s="86" t="s">
        <v>84</v>
      </c>
      <c r="D27" s="3"/>
      <c r="E27" s="79">
        <v>0.01</v>
      </c>
      <c r="F27" s="54"/>
      <c r="G27" s="80"/>
      <c r="H27" s="81"/>
      <c r="I27" s="82"/>
      <c r="J27" s="83">
        <v>5.0</v>
      </c>
      <c r="K27" s="84" t="s">
        <v>85</v>
      </c>
      <c r="L27" s="83">
        <v>5.0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3"/>
      <c r="Y27" s="14"/>
      <c r="Z27" s="14"/>
    </row>
    <row r="28" ht="68.25" customHeight="1">
      <c r="A28" s="76">
        <v>2.3</v>
      </c>
      <c r="B28" s="85" t="s">
        <v>86</v>
      </c>
      <c r="C28" s="86" t="s">
        <v>87</v>
      </c>
      <c r="D28" s="3"/>
      <c r="E28" s="79">
        <v>0.01</v>
      </c>
      <c r="F28" s="54"/>
      <c r="G28" s="80"/>
      <c r="H28" s="81"/>
      <c r="I28" s="82"/>
      <c r="J28" s="83">
        <v>5.0</v>
      </c>
      <c r="K28" s="84" t="s">
        <v>88</v>
      </c>
      <c r="L28" s="83">
        <v>5.0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3"/>
      <c r="Y28" s="14"/>
      <c r="Z28" s="14"/>
    </row>
    <row r="29" ht="68.25" customHeight="1">
      <c r="A29" s="73"/>
      <c r="B29" s="73"/>
      <c r="C29" s="86" t="s">
        <v>89</v>
      </c>
      <c r="D29" s="3"/>
      <c r="E29" s="79">
        <v>0.01</v>
      </c>
      <c r="F29" s="54"/>
      <c r="G29" s="80"/>
      <c r="H29" s="81"/>
      <c r="I29" s="82"/>
      <c r="J29" s="83">
        <v>5.0</v>
      </c>
      <c r="K29" s="84" t="s">
        <v>90</v>
      </c>
      <c r="L29" s="83">
        <v>5.0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3"/>
      <c r="Y29" s="14"/>
      <c r="Z29" s="14"/>
    </row>
    <row r="30" ht="68.25" customHeight="1">
      <c r="A30" s="76">
        <v>2.4</v>
      </c>
      <c r="B30" s="85" t="s">
        <v>91</v>
      </c>
      <c r="C30" s="86" t="s">
        <v>92</v>
      </c>
      <c r="D30" s="3"/>
      <c r="E30" s="79">
        <v>0.01</v>
      </c>
      <c r="F30" s="54"/>
      <c r="G30" s="80"/>
      <c r="H30" s="81"/>
      <c r="I30" s="82"/>
      <c r="J30" s="83">
        <v>5.0</v>
      </c>
      <c r="K30" s="84" t="s">
        <v>93</v>
      </c>
      <c r="L30" s="83">
        <v>5.0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3"/>
      <c r="Y30" s="14"/>
      <c r="Z30" s="14"/>
    </row>
    <row r="31" ht="15.75" customHeight="1">
      <c r="A31" s="73"/>
      <c r="B31" s="73"/>
      <c r="C31" s="86" t="s">
        <v>94</v>
      </c>
      <c r="D31" s="3"/>
      <c r="E31" s="79">
        <v>0.01</v>
      </c>
      <c r="F31" s="54"/>
      <c r="G31" s="80"/>
      <c r="H31" s="87"/>
      <c r="I31" s="82"/>
      <c r="J31" s="83">
        <v>5.0</v>
      </c>
      <c r="K31" s="84" t="s">
        <v>95</v>
      </c>
      <c r="L31" s="83">
        <v>5.0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3"/>
      <c r="Y31" s="14"/>
      <c r="Z31" s="14"/>
    </row>
    <row r="32" ht="68.25" customHeight="1">
      <c r="A32" s="76">
        <v>2.5</v>
      </c>
      <c r="B32" s="85" t="s">
        <v>96</v>
      </c>
      <c r="C32" s="86" t="s">
        <v>97</v>
      </c>
      <c r="D32" s="3"/>
      <c r="E32" s="79">
        <v>0.01</v>
      </c>
      <c r="F32" s="88"/>
      <c r="G32" s="87"/>
      <c r="H32" s="80"/>
      <c r="I32" s="83">
        <v>4.0</v>
      </c>
      <c r="J32" s="83"/>
      <c r="K32" s="84" t="s">
        <v>98</v>
      </c>
      <c r="L32" s="83">
        <v>4.0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3"/>
      <c r="Y32" s="14"/>
      <c r="Z32" s="14"/>
    </row>
    <row r="33" ht="68.25" customHeight="1">
      <c r="A33" s="73"/>
      <c r="B33" s="73"/>
      <c r="C33" s="86" t="s">
        <v>99</v>
      </c>
      <c r="D33" s="3"/>
      <c r="E33" s="89">
        <v>0.01</v>
      </c>
      <c r="F33" s="90"/>
      <c r="G33" s="91"/>
      <c r="H33" s="92"/>
      <c r="I33" s="82"/>
      <c r="J33" s="83">
        <v>5.0</v>
      </c>
      <c r="K33" s="84" t="s">
        <v>100</v>
      </c>
      <c r="L33" s="83">
        <v>5.0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3"/>
      <c r="Y33" s="14"/>
      <c r="Z33" s="14"/>
    </row>
    <row r="34" ht="25.5" customHeight="1">
      <c r="A34" s="13"/>
      <c r="B34" s="13"/>
      <c r="C34" s="13"/>
      <c r="D34" s="13"/>
      <c r="E34" s="93" t="s">
        <v>101</v>
      </c>
      <c r="F34" s="13"/>
      <c r="G34" s="94"/>
      <c r="H34" s="13"/>
      <c r="I34" s="95" t="s">
        <v>102</v>
      </c>
      <c r="J34" s="13"/>
      <c r="K34" s="13"/>
      <c r="L34" s="13"/>
      <c r="M34" s="13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3"/>
      <c r="Y34" s="13"/>
      <c r="Z34" s="13"/>
    </row>
    <row r="35" ht="25.5" customHeight="1">
      <c r="A35" s="13"/>
      <c r="B35" s="13"/>
      <c r="C35" s="13"/>
      <c r="D35" s="96" t="s">
        <v>103</v>
      </c>
      <c r="E35" s="97"/>
      <c r="F35" s="98"/>
      <c r="G35" s="98"/>
      <c r="H35" s="96" t="s">
        <v>103</v>
      </c>
      <c r="I35" s="98"/>
      <c r="J35" s="99"/>
      <c r="K35" s="100"/>
      <c r="L35" s="100"/>
      <c r="M35" s="10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3"/>
      <c r="Y35" s="13"/>
      <c r="Z35" s="13"/>
    </row>
    <row r="36" ht="25.5" customHeight="1">
      <c r="A36" s="13"/>
      <c r="B36" s="13"/>
      <c r="C36" s="13"/>
      <c r="D36" s="96" t="s">
        <v>104</v>
      </c>
      <c r="E36" s="97"/>
      <c r="F36" s="98"/>
      <c r="G36" s="98"/>
      <c r="H36" s="96" t="s">
        <v>104</v>
      </c>
      <c r="I36" s="98"/>
      <c r="J36" s="99"/>
      <c r="K36" s="100"/>
      <c r="L36" s="100"/>
      <c r="M36" s="10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3"/>
      <c r="Y36" s="13"/>
      <c r="Z36" s="13"/>
    </row>
    <row r="37" ht="25.5" customHeight="1">
      <c r="A37" s="13"/>
      <c r="B37" s="13"/>
      <c r="C37" s="13"/>
      <c r="D37" s="96" t="s">
        <v>105</v>
      </c>
      <c r="E37" s="97"/>
      <c r="F37" s="98"/>
      <c r="G37" s="98"/>
      <c r="H37" s="96" t="s">
        <v>105</v>
      </c>
      <c r="I37" s="98"/>
      <c r="J37" s="99"/>
      <c r="K37" s="100"/>
      <c r="L37" s="100"/>
      <c r="M37" s="10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3"/>
      <c r="Y37" s="13"/>
      <c r="Z37" s="13"/>
    </row>
    <row r="38" ht="25.5" customHeight="1">
      <c r="A38" s="13"/>
      <c r="B38" s="13"/>
      <c r="C38" s="13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3"/>
      <c r="Y38" s="13"/>
      <c r="Z38" s="13"/>
    </row>
    <row r="39" ht="25.5" customHeight="1">
      <c r="A39" s="4"/>
      <c r="B39" s="4"/>
      <c r="C39" s="4"/>
      <c r="D39" s="4"/>
      <c r="E39" s="10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6"/>
      <c r="Z39" s="6"/>
    </row>
    <row r="40" ht="25.5" customHeight="1">
      <c r="A40" s="4"/>
      <c r="B40" s="4"/>
      <c r="C40" s="4"/>
      <c r="D40" s="4"/>
      <c r="E40" s="10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6"/>
      <c r="Z40" s="6"/>
    </row>
    <row r="41" ht="25.5" customHeight="1">
      <c r="A41" s="4"/>
      <c r="B41" s="4"/>
      <c r="C41" s="4"/>
      <c r="D41" s="4"/>
      <c r="E41" s="10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6"/>
      <c r="Z41" s="6"/>
    </row>
    <row r="42" ht="25.5" customHeight="1">
      <c r="A42" s="4"/>
      <c r="B42" s="4"/>
      <c r="C42" s="4"/>
      <c r="D42" s="4"/>
      <c r="E42" s="10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6"/>
      <c r="Z42" s="6"/>
    </row>
    <row r="43" ht="25.5" customHeight="1">
      <c r="A43" s="4"/>
      <c r="B43" s="4"/>
      <c r="C43" s="4"/>
      <c r="D43" s="4"/>
      <c r="E43" s="10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6"/>
      <c r="Z43" s="6"/>
    </row>
    <row r="44" ht="25.5" customHeight="1">
      <c r="A44" s="4"/>
      <c r="B44" s="4"/>
      <c r="C44" s="4"/>
      <c r="D44" s="4"/>
      <c r="E44" s="10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6"/>
      <c r="Z44" s="6"/>
    </row>
    <row r="45" ht="25.5" customHeight="1">
      <c r="A45" s="4"/>
      <c r="B45" s="4"/>
      <c r="C45" s="4"/>
      <c r="D45" s="4"/>
      <c r="E45" s="10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6"/>
      <c r="Z45" s="6"/>
    </row>
    <row r="46" ht="25.5" customHeight="1">
      <c r="A46" s="4"/>
      <c r="B46" s="4"/>
      <c r="C46" s="4"/>
      <c r="D46" s="4"/>
      <c r="E46" s="10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6"/>
      <c r="Z46" s="6"/>
    </row>
    <row r="47" ht="25.5" customHeight="1">
      <c r="A47" s="4"/>
      <c r="B47" s="4"/>
      <c r="C47" s="4"/>
      <c r="D47" s="4"/>
      <c r="E47" s="10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6"/>
      <c r="Z47" s="6"/>
    </row>
    <row r="48" ht="25.5" customHeight="1">
      <c r="A48" s="4"/>
      <c r="B48" s="4"/>
      <c r="C48" s="4"/>
      <c r="D48" s="4"/>
      <c r="E48" s="10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6"/>
      <c r="Z48" s="6"/>
    </row>
    <row r="49" ht="25.5" customHeight="1">
      <c r="A49" s="4"/>
      <c r="B49" s="4"/>
      <c r="C49" s="4"/>
      <c r="D49" s="4"/>
      <c r="E49" s="10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6"/>
      <c r="Z49" s="6"/>
    </row>
    <row r="50" ht="25.5" customHeight="1">
      <c r="A50" s="4"/>
      <c r="B50" s="4"/>
      <c r="C50" s="4"/>
      <c r="D50" s="4"/>
      <c r="E50" s="10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6"/>
      <c r="Z50" s="6"/>
    </row>
    <row r="51" ht="25.5" customHeight="1">
      <c r="A51" s="4"/>
      <c r="B51" s="4"/>
      <c r="C51" s="4"/>
      <c r="D51" s="4"/>
      <c r="E51" s="10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6"/>
      <c r="Z51" s="6"/>
    </row>
    <row r="52" ht="25.5" customHeight="1">
      <c r="A52" s="4"/>
      <c r="B52" s="4"/>
      <c r="C52" s="4"/>
      <c r="D52" s="4"/>
      <c r="E52" s="10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6"/>
      <c r="Z52" s="6"/>
    </row>
    <row r="53" ht="25.5" customHeight="1">
      <c r="A53" s="4"/>
      <c r="B53" s="4"/>
      <c r="C53" s="4"/>
      <c r="D53" s="4"/>
      <c r="E53" s="10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6"/>
      <c r="Z53" s="6"/>
    </row>
    <row r="54" ht="25.5" customHeight="1">
      <c r="A54" s="4"/>
      <c r="B54" s="4"/>
      <c r="C54" s="4"/>
      <c r="D54" s="4"/>
      <c r="E54" s="10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6"/>
      <c r="Z54" s="6"/>
    </row>
    <row r="55" ht="25.5" customHeight="1">
      <c r="A55" s="4"/>
      <c r="B55" s="4"/>
      <c r="C55" s="4"/>
      <c r="D55" s="4"/>
      <c r="E55" s="10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6"/>
      <c r="Z55" s="6"/>
    </row>
    <row r="56" ht="25.5" customHeight="1">
      <c r="A56" s="4"/>
      <c r="B56" s="4"/>
      <c r="C56" s="4"/>
      <c r="D56" s="4"/>
      <c r="E56" s="10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6"/>
      <c r="Z56" s="6"/>
    </row>
    <row r="57" ht="25.5" customHeight="1">
      <c r="A57" s="4"/>
      <c r="B57" s="4"/>
      <c r="C57" s="4"/>
      <c r="D57" s="4"/>
      <c r="E57" s="10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6"/>
      <c r="Z57" s="6"/>
    </row>
    <row r="58" ht="25.5" customHeight="1">
      <c r="A58" s="4"/>
      <c r="B58" s="4"/>
      <c r="C58" s="4"/>
      <c r="D58" s="4"/>
      <c r="E58" s="10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6"/>
      <c r="Z58" s="6"/>
    </row>
    <row r="59" ht="25.5" customHeight="1">
      <c r="A59" s="4"/>
      <c r="B59" s="4"/>
      <c r="C59" s="4"/>
      <c r="D59" s="4"/>
      <c r="E59" s="10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6"/>
      <c r="Z59" s="6"/>
    </row>
    <row r="60" ht="25.5" customHeight="1">
      <c r="A60" s="4"/>
      <c r="B60" s="4"/>
      <c r="C60" s="4"/>
      <c r="D60" s="4"/>
      <c r="E60" s="10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6"/>
      <c r="Z60" s="6"/>
    </row>
    <row r="61" ht="25.5" customHeight="1">
      <c r="A61" s="4"/>
      <c r="B61" s="4"/>
      <c r="C61" s="4"/>
      <c r="D61" s="4"/>
      <c r="E61" s="10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6"/>
      <c r="Z61" s="6"/>
    </row>
    <row r="62" ht="25.5" customHeight="1">
      <c r="A62" s="4"/>
      <c r="B62" s="4"/>
      <c r="C62" s="4"/>
      <c r="D62" s="4"/>
      <c r="E62" s="10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6"/>
      <c r="Z62" s="6"/>
    </row>
    <row r="63" ht="25.5" customHeight="1">
      <c r="A63" s="4"/>
      <c r="B63" s="4"/>
      <c r="C63" s="4"/>
      <c r="D63" s="4"/>
      <c r="E63" s="10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6"/>
      <c r="Z63" s="6"/>
    </row>
    <row r="64" ht="25.5" customHeight="1">
      <c r="A64" s="4"/>
      <c r="B64" s="4"/>
      <c r="C64" s="4"/>
      <c r="D64" s="4"/>
      <c r="E64" s="102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6"/>
      <c r="Z64" s="6"/>
    </row>
    <row r="65" ht="25.5" customHeight="1">
      <c r="A65" s="4"/>
      <c r="B65" s="4"/>
      <c r="C65" s="4"/>
      <c r="D65" s="4"/>
      <c r="E65" s="10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6"/>
      <c r="Z65" s="6"/>
    </row>
    <row r="66" ht="25.5" customHeight="1">
      <c r="A66" s="4"/>
      <c r="B66" s="4"/>
      <c r="C66" s="4"/>
      <c r="D66" s="4"/>
      <c r="E66" s="10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6"/>
      <c r="Z66" s="6"/>
    </row>
    <row r="67" ht="25.5" customHeight="1">
      <c r="A67" s="4"/>
      <c r="B67" s="4"/>
      <c r="C67" s="4"/>
      <c r="D67" s="4"/>
      <c r="E67" s="10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6"/>
      <c r="Z67" s="6"/>
    </row>
    <row r="68" ht="25.5" customHeight="1">
      <c r="A68" s="4"/>
      <c r="B68" s="4"/>
      <c r="C68" s="4"/>
      <c r="D68" s="4"/>
      <c r="E68" s="10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6"/>
      <c r="Z68" s="6"/>
    </row>
    <row r="69" ht="25.5" customHeight="1">
      <c r="A69" s="4"/>
      <c r="B69" s="4"/>
      <c r="C69" s="4"/>
      <c r="D69" s="4"/>
      <c r="E69" s="10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6"/>
      <c r="Z69" s="6"/>
    </row>
    <row r="70" ht="25.5" customHeight="1">
      <c r="A70" s="4"/>
      <c r="B70" s="4"/>
      <c r="C70" s="4"/>
      <c r="D70" s="4"/>
      <c r="E70" s="10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5"/>
      <c r="Y70" s="6"/>
      <c r="Z70" s="6"/>
    </row>
    <row r="71" ht="25.5" customHeight="1">
      <c r="A71" s="4"/>
      <c r="B71" s="4"/>
      <c r="C71" s="4"/>
      <c r="D71" s="4"/>
      <c r="E71" s="102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  <c r="Y71" s="6"/>
      <c r="Z71" s="6"/>
    </row>
    <row r="72" ht="25.5" customHeight="1">
      <c r="A72" s="4"/>
      <c r="B72" s="4"/>
      <c r="C72" s="4"/>
      <c r="D72" s="4"/>
      <c r="E72" s="10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6"/>
      <c r="Z72" s="6"/>
    </row>
    <row r="73" ht="25.5" customHeight="1">
      <c r="A73" s="4"/>
      <c r="B73" s="4"/>
      <c r="C73" s="4"/>
      <c r="D73" s="4"/>
      <c r="E73" s="102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5"/>
      <c r="Y73" s="6"/>
      <c r="Z73" s="6"/>
    </row>
    <row r="74" ht="25.5" customHeight="1">
      <c r="A74" s="4"/>
      <c r="B74" s="4"/>
      <c r="C74" s="4"/>
      <c r="D74" s="4"/>
      <c r="E74" s="102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5"/>
      <c r="Y74" s="6"/>
      <c r="Z74" s="6"/>
    </row>
    <row r="75" ht="25.5" customHeight="1">
      <c r="A75" s="4"/>
      <c r="B75" s="4"/>
      <c r="C75" s="4"/>
      <c r="D75" s="4"/>
      <c r="E75" s="102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5"/>
      <c r="Y75" s="6"/>
      <c r="Z75" s="6"/>
    </row>
    <row r="76" ht="25.5" customHeight="1">
      <c r="A76" s="4"/>
      <c r="B76" s="4"/>
      <c r="C76" s="4"/>
      <c r="D76" s="4"/>
      <c r="E76" s="102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5"/>
      <c r="Y76" s="6"/>
      <c r="Z76" s="6"/>
    </row>
    <row r="77" ht="25.5" customHeight="1">
      <c r="A77" s="4"/>
      <c r="B77" s="4"/>
      <c r="C77" s="4"/>
      <c r="D77" s="4"/>
      <c r="E77" s="102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6"/>
      <c r="Z77" s="6"/>
    </row>
    <row r="78" ht="25.5" customHeight="1">
      <c r="A78" s="4"/>
      <c r="B78" s="4"/>
      <c r="C78" s="4"/>
      <c r="D78" s="4"/>
      <c r="E78" s="10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6"/>
      <c r="Z78" s="6"/>
    </row>
    <row r="79" ht="25.5" customHeight="1">
      <c r="A79" s="4"/>
      <c r="B79" s="4"/>
      <c r="C79" s="4"/>
      <c r="D79" s="4"/>
      <c r="E79" s="102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5"/>
      <c r="Y79" s="6"/>
      <c r="Z79" s="6"/>
    </row>
    <row r="80" ht="25.5" customHeight="1">
      <c r="A80" s="4"/>
      <c r="B80" s="4"/>
      <c r="C80" s="4"/>
      <c r="D80" s="4"/>
      <c r="E80" s="102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6"/>
      <c r="Z80" s="6"/>
    </row>
    <row r="81" ht="25.5" customHeight="1">
      <c r="A81" s="4"/>
      <c r="B81" s="4"/>
      <c r="C81" s="4"/>
      <c r="D81" s="4"/>
      <c r="E81" s="102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6"/>
      <c r="Z81" s="6"/>
    </row>
    <row r="82" ht="25.5" customHeight="1">
      <c r="A82" s="4"/>
      <c r="B82" s="4"/>
      <c r="C82" s="4"/>
      <c r="D82" s="4"/>
      <c r="E82" s="102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6"/>
      <c r="Z82" s="6"/>
    </row>
    <row r="83" ht="25.5" customHeight="1">
      <c r="A83" s="4"/>
      <c r="B83" s="4"/>
      <c r="C83" s="4"/>
      <c r="D83" s="4"/>
      <c r="E83" s="10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6"/>
      <c r="Z83" s="6"/>
    </row>
    <row r="84" ht="25.5" customHeight="1">
      <c r="A84" s="4"/>
      <c r="B84" s="4"/>
      <c r="C84" s="4"/>
      <c r="D84" s="4"/>
      <c r="E84" s="102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6"/>
      <c r="Z84" s="6"/>
    </row>
    <row r="85" ht="25.5" customHeight="1">
      <c r="A85" s="4"/>
      <c r="B85" s="4"/>
      <c r="C85" s="4"/>
      <c r="D85" s="4"/>
      <c r="E85" s="102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6"/>
      <c r="Z85" s="6"/>
    </row>
    <row r="86" ht="25.5" customHeight="1">
      <c r="A86" s="4"/>
      <c r="B86" s="4"/>
      <c r="C86" s="4"/>
      <c r="D86" s="4"/>
      <c r="E86" s="102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6"/>
      <c r="Z86" s="6"/>
    </row>
    <row r="87" ht="25.5" customHeight="1">
      <c r="A87" s="4"/>
      <c r="B87" s="4"/>
      <c r="C87" s="4"/>
      <c r="D87" s="4"/>
      <c r="E87" s="102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6"/>
      <c r="Z87" s="6"/>
    </row>
    <row r="88" ht="25.5" customHeight="1">
      <c r="A88" s="4"/>
      <c r="B88" s="4"/>
      <c r="C88" s="4"/>
      <c r="D88" s="4"/>
      <c r="E88" s="102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6"/>
      <c r="Z88" s="6"/>
    </row>
    <row r="89" ht="25.5" customHeight="1">
      <c r="A89" s="4"/>
      <c r="B89" s="4"/>
      <c r="C89" s="4"/>
      <c r="D89" s="4"/>
      <c r="E89" s="10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6"/>
      <c r="Z89" s="6"/>
    </row>
    <row r="90" ht="25.5" customHeight="1">
      <c r="A90" s="4"/>
      <c r="B90" s="4"/>
      <c r="C90" s="4"/>
      <c r="D90" s="4"/>
      <c r="E90" s="102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6"/>
      <c r="Z90" s="6"/>
    </row>
    <row r="91" ht="25.5" customHeight="1">
      <c r="A91" s="4"/>
      <c r="B91" s="4"/>
      <c r="C91" s="4"/>
      <c r="D91" s="4"/>
      <c r="E91" s="10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6"/>
      <c r="Z91" s="6"/>
    </row>
    <row r="92" ht="25.5" customHeight="1">
      <c r="A92" s="4"/>
      <c r="B92" s="4"/>
      <c r="C92" s="4"/>
      <c r="D92" s="4"/>
      <c r="E92" s="102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6"/>
      <c r="Z92" s="6"/>
    </row>
    <row r="93" ht="25.5" customHeight="1">
      <c r="A93" s="4"/>
      <c r="B93" s="4"/>
      <c r="C93" s="4"/>
      <c r="D93" s="4"/>
      <c r="E93" s="102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6"/>
      <c r="Z93" s="6"/>
    </row>
    <row r="94" ht="25.5" customHeight="1">
      <c r="A94" s="4"/>
      <c r="B94" s="4"/>
      <c r="C94" s="4"/>
      <c r="D94" s="4"/>
      <c r="E94" s="102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6"/>
      <c r="Z94" s="6"/>
    </row>
    <row r="95" ht="25.5" customHeight="1">
      <c r="A95" s="4"/>
      <c r="B95" s="4"/>
      <c r="C95" s="4"/>
      <c r="D95" s="4"/>
      <c r="E95" s="102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6"/>
      <c r="Z95" s="6"/>
    </row>
    <row r="96" ht="25.5" customHeight="1">
      <c r="A96" s="4"/>
      <c r="B96" s="4"/>
      <c r="C96" s="4"/>
      <c r="D96" s="4"/>
      <c r="E96" s="10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6"/>
      <c r="Z96" s="6"/>
    </row>
    <row r="97" ht="25.5" customHeight="1">
      <c r="A97" s="4"/>
      <c r="B97" s="4"/>
      <c r="C97" s="4"/>
      <c r="D97" s="4"/>
      <c r="E97" s="102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6"/>
      <c r="Z97" s="6"/>
    </row>
    <row r="98" ht="25.5" customHeight="1">
      <c r="A98" s="4"/>
      <c r="B98" s="4"/>
      <c r="C98" s="4"/>
      <c r="D98" s="4"/>
      <c r="E98" s="102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6"/>
      <c r="Z98" s="6"/>
    </row>
    <row r="99" ht="25.5" customHeight="1">
      <c r="A99" s="4"/>
      <c r="B99" s="4"/>
      <c r="C99" s="4"/>
      <c r="D99" s="4"/>
      <c r="E99" s="102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5"/>
      <c r="Y99" s="6"/>
      <c r="Z99" s="6"/>
    </row>
    <row r="100" ht="25.5" customHeight="1">
      <c r="A100" s="4"/>
      <c r="B100" s="4"/>
      <c r="C100" s="4"/>
      <c r="D100" s="4"/>
      <c r="E100" s="102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5"/>
      <c r="Y100" s="6"/>
      <c r="Z100" s="6"/>
    </row>
    <row r="101" ht="25.5" customHeight="1">
      <c r="A101" s="4"/>
      <c r="B101" s="4"/>
      <c r="C101" s="4"/>
      <c r="D101" s="4"/>
      <c r="E101" s="102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/>
      <c r="Y101" s="6"/>
      <c r="Z101" s="6"/>
    </row>
    <row r="102" ht="25.5" customHeight="1">
      <c r="A102" s="4"/>
      <c r="B102" s="4"/>
      <c r="C102" s="4"/>
      <c r="D102" s="4"/>
      <c r="E102" s="10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5"/>
      <c r="Y102" s="6"/>
      <c r="Z102" s="6"/>
    </row>
    <row r="103" ht="25.5" customHeight="1">
      <c r="A103" s="4"/>
      <c r="B103" s="4"/>
      <c r="C103" s="4"/>
      <c r="D103" s="4"/>
      <c r="E103" s="10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6"/>
      <c r="Z103" s="6"/>
    </row>
    <row r="104" ht="25.5" customHeight="1">
      <c r="A104" s="4"/>
      <c r="B104" s="4"/>
      <c r="C104" s="4"/>
      <c r="D104" s="4"/>
      <c r="E104" s="102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6"/>
      <c r="Z104" s="6"/>
    </row>
    <row r="105" ht="25.5" customHeight="1">
      <c r="A105" s="4"/>
      <c r="B105" s="4"/>
      <c r="C105" s="4"/>
      <c r="D105" s="4"/>
      <c r="E105" s="102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5"/>
      <c r="Y105" s="6"/>
      <c r="Z105" s="6"/>
    </row>
    <row r="106" ht="25.5" customHeight="1">
      <c r="A106" s="4"/>
      <c r="B106" s="4"/>
      <c r="C106" s="4"/>
      <c r="D106" s="4"/>
      <c r="E106" s="102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5"/>
      <c r="Y106" s="6"/>
      <c r="Z106" s="6"/>
    </row>
    <row r="107" ht="25.5" customHeight="1">
      <c r="A107" s="4"/>
      <c r="B107" s="4"/>
      <c r="C107" s="4"/>
      <c r="D107" s="4"/>
      <c r="E107" s="102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6"/>
      <c r="Z107" s="6"/>
    </row>
    <row r="108" ht="25.5" customHeight="1">
      <c r="A108" s="4"/>
      <c r="B108" s="4"/>
      <c r="C108" s="4"/>
      <c r="D108" s="4"/>
      <c r="E108" s="102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6"/>
      <c r="Z108" s="6"/>
    </row>
    <row r="109" ht="25.5" customHeight="1">
      <c r="A109" s="4"/>
      <c r="B109" s="4"/>
      <c r="C109" s="4"/>
      <c r="D109" s="4"/>
      <c r="E109" s="102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6"/>
      <c r="Z109" s="6"/>
    </row>
    <row r="110" ht="25.5" customHeight="1">
      <c r="A110" s="4"/>
      <c r="B110" s="4"/>
      <c r="C110" s="4"/>
      <c r="D110" s="4"/>
      <c r="E110" s="102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6"/>
      <c r="Z110" s="6"/>
    </row>
    <row r="111" ht="25.5" customHeight="1">
      <c r="A111" s="4"/>
      <c r="B111" s="4"/>
      <c r="C111" s="4"/>
      <c r="D111" s="4"/>
      <c r="E111" s="102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6"/>
      <c r="Z111" s="6"/>
    </row>
    <row r="112" ht="25.5" customHeight="1">
      <c r="A112" s="4"/>
      <c r="B112" s="4"/>
      <c r="C112" s="4"/>
      <c r="D112" s="4"/>
      <c r="E112" s="102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6"/>
      <c r="Z112" s="6"/>
    </row>
    <row r="113" ht="25.5" customHeight="1">
      <c r="A113" s="4"/>
      <c r="B113" s="4"/>
      <c r="C113" s="4"/>
      <c r="D113" s="4"/>
      <c r="E113" s="102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6"/>
      <c r="Z113" s="6"/>
    </row>
    <row r="114" ht="25.5" customHeight="1">
      <c r="A114" s="4"/>
      <c r="B114" s="4"/>
      <c r="C114" s="4"/>
      <c r="D114" s="4"/>
      <c r="E114" s="102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6"/>
      <c r="Z114" s="6"/>
    </row>
    <row r="115" ht="25.5" customHeight="1">
      <c r="A115" s="4"/>
      <c r="B115" s="4"/>
      <c r="C115" s="4"/>
      <c r="D115" s="4"/>
      <c r="E115" s="102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6"/>
      <c r="Z115" s="6"/>
    </row>
    <row r="116" ht="25.5" customHeight="1">
      <c r="A116" s="4"/>
      <c r="B116" s="4"/>
      <c r="C116" s="4"/>
      <c r="D116" s="4"/>
      <c r="E116" s="102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6"/>
      <c r="Z116" s="6"/>
    </row>
    <row r="117" ht="25.5" customHeight="1">
      <c r="A117" s="4"/>
      <c r="B117" s="4"/>
      <c r="C117" s="4"/>
      <c r="D117" s="4"/>
      <c r="E117" s="102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6"/>
      <c r="Z117" s="6"/>
    </row>
    <row r="118" ht="25.5" customHeight="1">
      <c r="A118" s="4"/>
      <c r="B118" s="4"/>
      <c r="C118" s="4"/>
      <c r="D118" s="4"/>
      <c r="E118" s="102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6"/>
      <c r="Z118" s="6"/>
    </row>
    <row r="119" ht="25.5" customHeight="1">
      <c r="A119" s="4"/>
      <c r="B119" s="4"/>
      <c r="C119" s="4"/>
      <c r="D119" s="4"/>
      <c r="E119" s="102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6"/>
      <c r="Z119" s="6"/>
    </row>
    <row r="120" ht="25.5" customHeight="1">
      <c r="A120" s="4"/>
      <c r="B120" s="4"/>
      <c r="C120" s="4"/>
      <c r="D120" s="4"/>
      <c r="E120" s="102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6"/>
      <c r="Z120" s="6"/>
    </row>
    <row r="121" ht="25.5" customHeight="1">
      <c r="A121" s="4"/>
      <c r="B121" s="4"/>
      <c r="C121" s="4"/>
      <c r="D121" s="4"/>
      <c r="E121" s="102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6"/>
      <c r="Z121" s="6"/>
    </row>
    <row r="122" ht="25.5" customHeight="1">
      <c r="A122" s="4"/>
      <c r="B122" s="4"/>
      <c r="C122" s="4"/>
      <c r="D122" s="4"/>
      <c r="E122" s="102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6"/>
      <c r="Z122" s="6"/>
    </row>
    <row r="123" ht="25.5" customHeight="1">
      <c r="A123" s="4"/>
      <c r="B123" s="4"/>
      <c r="C123" s="4"/>
      <c r="D123" s="4"/>
      <c r="E123" s="102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6"/>
      <c r="Z123" s="6"/>
    </row>
    <row r="124" ht="25.5" customHeight="1">
      <c r="A124" s="4"/>
      <c r="B124" s="4"/>
      <c r="C124" s="4"/>
      <c r="D124" s="4"/>
      <c r="E124" s="102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6"/>
      <c r="Z124" s="6"/>
    </row>
    <row r="125" ht="25.5" customHeight="1">
      <c r="A125" s="4"/>
      <c r="B125" s="4"/>
      <c r="C125" s="4"/>
      <c r="D125" s="4"/>
      <c r="E125" s="102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6"/>
      <c r="Z125" s="6"/>
    </row>
    <row r="126" ht="25.5" customHeight="1">
      <c r="A126" s="4"/>
      <c r="B126" s="4"/>
      <c r="C126" s="4"/>
      <c r="D126" s="4"/>
      <c r="E126" s="102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6"/>
      <c r="Z126" s="6"/>
    </row>
    <row r="127" ht="25.5" customHeight="1">
      <c r="A127" s="4"/>
      <c r="B127" s="4"/>
      <c r="C127" s="4"/>
      <c r="D127" s="4"/>
      <c r="E127" s="102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6"/>
      <c r="Z127" s="6"/>
    </row>
    <row r="128" ht="25.5" customHeight="1">
      <c r="A128" s="4"/>
      <c r="B128" s="4"/>
      <c r="C128" s="4"/>
      <c r="D128" s="4"/>
      <c r="E128" s="102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6"/>
      <c r="Z128" s="6"/>
    </row>
    <row r="129" ht="25.5" customHeight="1">
      <c r="A129" s="4"/>
      <c r="B129" s="4"/>
      <c r="C129" s="4"/>
      <c r="D129" s="4"/>
      <c r="E129" s="102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6"/>
      <c r="Z129" s="6"/>
    </row>
    <row r="130" ht="25.5" customHeight="1">
      <c r="A130" s="4"/>
      <c r="B130" s="4"/>
      <c r="C130" s="4"/>
      <c r="D130" s="4"/>
      <c r="E130" s="102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6"/>
      <c r="Z130" s="6"/>
    </row>
    <row r="131" ht="25.5" customHeight="1">
      <c r="A131" s="4"/>
      <c r="B131" s="4"/>
      <c r="C131" s="4"/>
      <c r="D131" s="4"/>
      <c r="E131" s="102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6"/>
      <c r="Z131" s="6"/>
    </row>
    <row r="132" ht="25.5" customHeight="1">
      <c r="A132" s="4"/>
      <c r="B132" s="4"/>
      <c r="C132" s="4"/>
      <c r="D132" s="4"/>
      <c r="E132" s="102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6"/>
      <c r="Z132" s="6"/>
    </row>
    <row r="133" ht="25.5" customHeight="1">
      <c r="A133" s="4"/>
      <c r="B133" s="4"/>
      <c r="C133" s="4"/>
      <c r="D133" s="4"/>
      <c r="E133" s="102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6"/>
      <c r="Z133" s="6"/>
    </row>
    <row r="134" ht="25.5" customHeight="1">
      <c r="A134" s="4"/>
      <c r="B134" s="4"/>
      <c r="C134" s="4"/>
      <c r="D134" s="4"/>
      <c r="E134" s="102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6"/>
      <c r="Z134" s="6"/>
    </row>
    <row r="135" ht="25.5" customHeight="1">
      <c r="A135" s="4"/>
      <c r="B135" s="4"/>
      <c r="C135" s="4"/>
      <c r="D135" s="4"/>
      <c r="E135" s="102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6"/>
      <c r="Z135" s="6"/>
    </row>
    <row r="136" ht="25.5" customHeight="1">
      <c r="A136" s="4"/>
      <c r="B136" s="4"/>
      <c r="C136" s="4"/>
      <c r="D136" s="4"/>
      <c r="E136" s="102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6"/>
      <c r="Z136" s="6"/>
    </row>
    <row r="137" ht="25.5" customHeight="1">
      <c r="A137" s="4"/>
      <c r="B137" s="4"/>
      <c r="C137" s="4"/>
      <c r="D137" s="4"/>
      <c r="E137" s="102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6"/>
      <c r="Z137" s="6"/>
    </row>
    <row r="138" ht="25.5" customHeight="1">
      <c r="A138" s="4"/>
      <c r="B138" s="4"/>
      <c r="C138" s="4"/>
      <c r="D138" s="4"/>
      <c r="E138" s="102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6"/>
      <c r="Z138" s="6"/>
    </row>
    <row r="139" ht="25.5" customHeight="1">
      <c r="A139" s="4"/>
      <c r="B139" s="4"/>
      <c r="C139" s="4"/>
      <c r="D139" s="4"/>
      <c r="E139" s="102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6"/>
      <c r="Z139" s="6"/>
    </row>
    <row r="140" ht="25.5" customHeight="1">
      <c r="A140" s="4"/>
      <c r="B140" s="4"/>
      <c r="C140" s="4"/>
      <c r="D140" s="4"/>
      <c r="E140" s="102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6"/>
      <c r="Z140" s="6"/>
    </row>
    <row r="141" ht="25.5" customHeight="1">
      <c r="A141" s="4"/>
      <c r="B141" s="4"/>
      <c r="C141" s="4"/>
      <c r="D141" s="4"/>
      <c r="E141" s="102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5"/>
      <c r="Y141" s="6"/>
      <c r="Z141" s="6"/>
    </row>
    <row r="142" ht="25.5" customHeight="1">
      <c r="A142" s="4"/>
      <c r="B142" s="4"/>
      <c r="C142" s="4"/>
      <c r="D142" s="4"/>
      <c r="E142" s="102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5"/>
      <c r="Y142" s="6"/>
      <c r="Z142" s="6"/>
    </row>
    <row r="143" ht="25.5" customHeight="1">
      <c r="A143" s="4"/>
      <c r="B143" s="4"/>
      <c r="C143" s="4"/>
      <c r="D143" s="4"/>
      <c r="E143" s="102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6"/>
      <c r="Z143" s="6"/>
    </row>
    <row r="144" ht="25.5" customHeight="1">
      <c r="A144" s="4"/>
      <c r="B144" s="4"/>
      <c r="C144" s="4"/>
      <c r="D144" s="4"/>
      <c r="E144" s="102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6"/>
      <c r="Z144" s="6"/>
    </row>
    <row r="145" ht="25.5" customHeight="1">
      <c r="A145" s="4"/>
      <c r="B145" s="4"/>
      <c r="C145" s="4"/>
      <c r="D145" s="4"/>
      <c r="E145" s="102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6"/>
      <c r="Z145" s="6"/>
    </row>
    <row r="146" ht="25.5" customHeight="1">
      <c r="A146" s="4"/>
      <c r="B146" s="4"/>
      <c r="C146" s="4"/>
      <c r="D146" s="4"/>
      <c r="E146" s="102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6"/>
      <c r="Z146" s="6"/>
    </row>
    <row r="147" ht="25.5" customHeight="1">
      <c r="A147" s="4"/>
      <c r="B147" s="4"/>
      <c r="C147" s="4"/>
      <c r="D147" s="4"/>
      <c r="E147" s="102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6"/>
      <c r="Z147" s="6"/>
    </row>
    <row r="148" ht="25.5" customHeight="1">
      <c r="A148" s="4"/>
      <c r="B148" s="4"/>
      <c r="C148" s="4"/>
      <c r="D148" s="4"/>
      <c r="E148" s="102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6"/>
      <c r="Z148" s="6"/>
    </row>
    <row r="149" ht="25.5" customHeight="1">
      <c r="A149" s="4"/>
      <c r="B149" s="4"/>
      <c r="C149" s="4"/>
      <c r="D149" s="4"/>
      <c r="E149" s="102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6"/>
      <c r="Z149" s="6"/>
    </row>
    <row r="150" ht="25.5" customHeight="1">
      <c r="A150" s="4"/>
      <c r="B150" s="4"/>
      <c r="C150" s="4"/>
      <c r="D150" s="4"/>
      <c r="E150" s="102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6"/>
      <c r="Z150" s="6"/>
    </row>
    <row r="151" ht="25.5" customHeight="1">
      <c r="A151" s="4"/>
      <c r="B151" s="4"/>
      <c r="C151" s="4"/>
      <c r="D151" s="4"/>
      <c r="E151" s="102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6"/>
      <c r="Z151" s="6"/>
    </row>
    <row r="152" ht="25.5" customHeight="1">
      <c r="A152" s="4"/>
      <c r="B152" s="4"/>
      <c r="C152" s="4"/>
      <c r="D152" s="4"/>
      <c r="E152" s="102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6"/>
      <c r="Z152" s="6"/>
    </row>
    <row r="153" ht="25.5" customHeight="1">
      <c r="A153" s="4"/>
      <c r="B153" s="4"/>
      <c r="C153" s="4"/>
      <c r="D153" s="4"/>
      <c r="E153" s="102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6"/>
      <c r="Z153" s="6"/>
    </row>
    <row r="154" ht="25.5" customHeight="1">
      <c r="A154" s="4"/>
      <c r="B154" s="4"/>
      <c r="C154" s="4"/>
      <c r="D154" s="4"/>
      <c r="E154" s="102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6"/>
      <c r="Z154" s="6"/>
    </row>
    <row r="155" ht="25.5" customHeight="1">
      <c r="A155" s="4"/>
      <c r="B155" s="4"/>
      <c r="C155" s="4"/>
      <c r="D155" s="4"/>
      <c r="E155" s="102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6"/>
      <c r="Z155" s="6"/>
    </row>
    <row r="156" ht="25.5" customHeight="1">
      <c r="A156" s="4"/>
      <c r="B156" s="4"/>
      <c r="C156" s="4"/>
      <c r="D156" s="4"/>
      <c r="E156" s="102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6"/>
      <c r="Z156" s="6"/>
    </row>
    <row r="157" ht="25.5" customHeight="1">
      <c r="A157" s="4"/>
      <c r="B157" s="4"/>
      <c r="C157" s="4"/>
      <c r="D157" s="4"/>
      <c r="E157" s="102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6"/>
      <c r="Z157" s="6"/>
    </row>
    <row r="158" ht="25.5" customHeight="1">
      <c r="A158" s="4"/>
      <c r="B158" s="4"/>
      <c r="C158" s="4"/>
      <c r="D158" s="4"/>
      <c r="E158" s="102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6"/>
      <c r="Z158" s="6"/>
    </row>
    <row r="159" ht="25.5" customHeight="1">
      <c r="A159" s="4"/>
      <c r="B159" s="4"/>
      <c r="C159" s="4"/>
      <c r="D159" s="4"/>
      <c r="E159" s="102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5"/>
      <c r="Y159" s="6"/>
      <c r="Z159" s="6"/>
    </row>
    <row r="160" ht="25.5" customHeight="1">
      <c r="A160" s="4"/>
      <c r="B160" s="4"/>
      <c r="C160" s="4"/>
      <c r="D160" s="4"/>
      <c r="E160" s="102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6"/>
      <c r="Z160" s="6"/>
    </row>
    <row r="161" ht="25.5" customHeight="1">
      <c r="A161" s="4"/>
      <c r="B161" s="4"/>
      <c r="C161" s="4"/>
      <c r="D161" s="4"/>
      <c r="E161" s="10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5"/>
      <c r="Y161" s="6"/>
      <c r="Z161" s="6"/>
    </row>
    <row r="162" ht="25.5" customHeight="1">
      <c r="A162" s="4"/>
      <c r="B162" s="4"/>
      <c r="C162" s="4"/>
      <c r="D162" s="4"/>
      <c r="E162" s="102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5"/>
      <c r="Y162" s="6"/>
      <c r="Z162" s="6"/>
    </row>
    <row r="163" ht="25.5" customHeight="1">
      <c r="A163" s="4"/>
      <c r="B163" s="4"/>
      <c r="C163" s="4"/>
      <c r="D163" s="4"/>
      <c r="E163" s="102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5"/>
      <c r="Y163" s="6"/>
      <c r="Z163" s="6"/>
    </row>
    <row r="164" ht="25.5" customHeight="1">
      <c r="A164" s="4"/>
      <c r="B164" s="4"/>
      <c r="C164" s="4"/>
      <c r="D164" s="4"/>
      <c r="E164" s="102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6"/>
      <c r="Z164" s="6"/>
    </row>
    <row r="165" ht="25.5" customHeight="1">
      <c r="A165" s="4"/>
      <c r="B165" s="4"/>
      <c r="C165" s="4"/>
      <c r="D165" s="4"/>
      <c r="E165" s="102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6"/>
      <c r="Z165" s="6"/>
    </row>
    <row r="166" ht="25.5" customHeight="1">
      <c r="A166" s="4"/>
      <c r="B166" s="4"/>
      <c r="C166" s="4"/>
      <c r="D166" s="4"/>
      <c r="E166" s="102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6"/>
      <c r="Z166" s="6"/>
    </row>
    <row r="167" ht="25.5" customHeight="1">
      <c r="A167" s="4"/>
      <c r="B167" s="4"/>
      <c r="C167" s="4"/>
      <c r="D167" s="4"/>
      <c r="E167" s="102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6"/>
      <c r="Z167" s="6"/>
    </row>
    <row r="168" ht="25.5" customHeight="1">
      <c r="A168" s="4"/>
      <c r="B168" s="4"/>
      <c r="C168" s="4"/>
      <c r="D168" s="4"/>
      <c r="E168" s="102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6"/>
      <c r="Z168" s="6"/>
    </row>
    <row r="169" ht="25.5" customHeight="1">
      <c r="A169" s="4"/>
      <c r="B169" s="4"/>
      <c r="C169" s="4"/>
      <c r="D169" s="4"/>
      <c r="E169" s="102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6"/>
      <c r="Z169" s="6"/>
    </row>
    <row r="170" ht="25.5" customHeight="1">
      <c r="A170" s="4"/>
      <c r="B170" s="4"/>
      <c r="C170" s="4"/>
      <c r="D170" s="4"/>
      <c r="E170" s="102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5"/>
      <c r="Y170" s="6"/>
      <c r="Z170" s="6"/>
    </row>
    <row r="171" ht="25.5" customHeight="1">
      <c r="A171" s="4"/>
      <c r="B171" s="4"/>
      <c r="C171" s="4"/>
      <c r="D171" s="4"/>
      <c r="E171" s="102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6"/>
      <c r="Z171" s="6"/>
    </row>
    <row r="172" ht="25.5" customHeight="1">
      <c r="A172" s="4"/>
      <c r="B172" s="4"/>
      <c r="C172" s="4"/>
      <c r="D172" s="4"/>
      <c r="E172" s="102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6"/>
      <c r="Z172" s="6"/>
    </row>
    <row r="173" ht="25.5" customHeight="1">
      <c r="A173" s="4"/>
      <c r="B173" s="4"/>
      <c r="C173" s="4"/>
      <c r="D173" s="4"/>
      <c r="E173" s="102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6"/>
      <c r="Z173" s="6"/>
    </row>
    <row r="174" ht="25.5" customHeight="1">
      <c r="A174" s="4"/>
      <c r="B174" s="4"/>
      <c r="C174" s="4"/>
      <c r="D174" s="4"/>
      <c r="E174" s="102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6"/>
      <c r="Z174" s="6"/>
    </row>
    <row r="175" ht="25.5" customHeight="1">
      <c r="A175" s="4"/>
      <c r="B175" s="4"/>
      <c r="C175" s="4"/>
      <c r="D175" s="4"/>
      <c r="E175" s="102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6"/>
      <c r="Z175" s="6"/>
    </row>
    <row r="176" ht="25.5" customHeight="1">
      <c r="A176" s="4"/>
      <c r="B176" s="4"/>
      <c r="C176" s="4"/>
      <c r="D176" s="4"/>
      <c r="E176" s="102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6"/>
      <c r="Z176" s="6"/>
    </row>
    <row r="177" ht="25.5" customHeight="1">
      <c r="A177" s="4"/>
      <c r="B177" s="4"/>
      <c r="C177" s="4"/>
      <c r="D177" s="4"/>
      <c r="E177" s="102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6"/>
      <c r="Z177" s="6"/>
    </row>
    <row r="178" ht="25.5" customHeight="1">
      <c r="A178" s="4"/>
      <c r="B178" s="4"/>
      <c r="C178" s="4"/>
      <c r="D178" s="4"/>
      <c r="E178" s="10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6"/>
      <c r="Z178" s="6"/>
    </row>
    <row r="179" ht="25.5" customHeight="1">
      <c r="A179" s="4"/>
      <c r="B179" s="4"/>
      <c r="C179" s="4"/>
      <c r="D179" s="4"/>
      <c r="E179" s="10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5"/>
      <c r="Y179" s="6"/>
      <c r="Z179" s="6"/>
    </row>
    <row r="180" ht="25.5" customHeight="1">
      <c r="A180" s="4"/>
      <c r="B180" s="4"/>
      <c r="C180" s="4"/>
      <c r="D180" s="4"/>
      <c r="E180" s="10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6"/>
      <c r="Z180" s="6"/>
    </row>
    <row r="181" ht="25.5" customHeight="1">
      <c r="A181" s="4"/>
      <c r="B181" s="4"/>
      <c r="C181" s="4"/>
      <c r="D181" s="4"/>
      <c r="E181" s="10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6"/>
      <c r="Z181" s="6"/>
    </row>
    <row r="182" ht="25.5" customHeight="1">
      <c r="A182" s="4"/>
      <c r="B182" s="4"/>
      <c r="C182" s="4"/>
      <c r="D182" s="4"/>
      <c r="E182" s="10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6"/>
      <c r="Z182" s="6"/>
    </row>
    <row r="183" ht="25.5" customHeight="1">
      <c r="A183" s="4"/>
      <c r="B183" s="4"/>
      <c r="C183" s="4"/>
      <c r="D183" s="4"/>
      <c r="E183" s="10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6"/>
      <c r="Z183" s="6"/>
    </row>
    <row r="184" ht="25.5" customHeight="1">
      <c r="A184" s="4"/>
      <c r="B184" s="4"/>
      <c r="C184" s="4"/>
      <c r="D184" s="4"/>
      <c r="E184" s="10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6"/>
      <c r="Z184" s="6"/>
    </row>
    <row r="185" ht="25.5" customHeight="1">
      <c r="A185" s="4"/>
      <c r="B185" s="4"/>
      <c r="C185" s="4"/>
      <c r="D185" s="4"/>
      <c r="E185" s="10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5"/>
      <c r="Y185" s="6"/>
      <c r="Z185" s="6"/>
    </row>
    <row r="186" ht="25.5" customHeight="1">
      <c r="A186" s="4"/>
      <c r="B186" s="4"/>
      <c r="C186" s="4"/>
      <c r="D186" s="4"/>
      <c r="E186" s="10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5"/>
      <c r="Y186" s="6"/>
      <c r="Z186" s="6"/>
    </row>
    <row r="187" ht="25.5" customHeight="1">
      <c r="A187" s="4"/>
      <c r="B187" s="4"/>
      <c r="C187" s="4"/>
      <c r="D187" s="4"/>
      <c r="E187" s="10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6"/>
      <c r="Z187" s="6"/>
    </row>
    <row r="188" ht="25.5" customHeight="1">
      <c r="A188" s="4"/>
      <c r="B188" s="4"/>
      <c r="C188" s="4"/>
      <c r="D188" s="4"/>
      <c r="E188" s="10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6"/>
      <c r="Z188" s="6"/>
    </row>
    <row r="189" ht="25.5" customHeight="1">
      <c r="A189" s="4"/>
      <c r="B189" s="4"/>
      <c r="C189" s="4"/>
      <c r="D189" s="4"/>
      <c r="E189" s="10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6"/>
      <c r="Z189" s="6"/>
    </row>
    <row r="190" ht="25.5" customHeight="1">
      <c r="A190" s="4"/>
      <c r="B190" s="4"/>
      <c r="C190" s="4"/>
      <c r="D190" s="4"/>
      <c r="E190" s="10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5"/>
      <c r="Y190" s="6"/>
      <c r="Z190" s="6"/>
    </row>
    <row r="191" ht="25.5" customHeight="1">
      <c r="A191" s="4"/>
      <c r="B191" s="4"/>
      <c r="C191" s="4"/>
      <c r="D191" s="4"/>
      <c r="E191" s="10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5"/>
      <c r="Y191" s="6"/>
      <c r="Z191" s="6"/>
    </row>
    <row r="192" ht="25.5" customHeight="1">
      <c r="A192" s="4"/>
      <c r="B192" s="4"/>
      <c r="C192" s="4"/>
      <c r="D192" s="4"/>
      <c r="E192" s="10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6"/>
      <c r="Z192" s="6"/>
    </row>
    <row r="193" ht="15.75" customHeight="1">
      <c r="A193" s="5"/>
      <c r="B193" s="5"/>
      <c r="C193" s="5"/>
      <c r="D193" s="5"/>
      <c r="E193" s="103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6"/>
      <c r="Z193" s="6"/>
    </row>
    <row r="194" ht="15.75" customHeight="1">
      <c r="A194" s="5"/>
      <c r="B194" s="5"/>
      <c r="C194" s="5"/>
      <c r="D194" s="5"/>
      <c r="E194" s="103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6"/>
      <c r="Z194" s="6"/>
    </row>
    <row r="195" ht="15.75" customHeight="1">
      <c r="A195" s="5"/>
      <c r="B195" s="5"/>
      <c r="C195" s="5"/>
      <c r="D195" s="5"/>
      <c r="E195" s="103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6"/>
      <c r="Z195" s="6"/>
    </row>
    <row r="196" ht="15.75" customHeight="1">
      <c r="A196" s="5"/>
      <c r="B196" s="5"/>
      <c r="C196" s="5"/>
      <c r="D196" s="5"/>
      <c r="E196" s="103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6"/>
      <c r="Z196" s="6"/>
    </row>
    <row r="197" ht="15.75" customHeight="1">
      <c r="A197" s="5"/>
      <c r="B197" s="5"/>
      <c r="C197" s="5"/>
      <c r="D197" s="5"/>
      <c r="E197" s="103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6"/>
      <c r="Z197" s="6"/>
    </row>
    <row r="198" ht="15.75" customHeight="1">
      <c r="A198" s="5"/>
      <c r="B198" s="5"/>
      <c r="C198" s="5"/>
      <c r="D198" s="5"/>
      <c r="E198" s="103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6"/>
      <c r="Z198" s="6"/>
    </row>
    <row r="199" ht="15.75" customHeight="1">
      <c r="A199" s="5"/>
      <c r="B199" s="5"/>
      <c r="C199" s="5"/>
      <c r="D199" s="5"/>
      <c r="E199" s="103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6"/>
      <c r="Z199" s="6"/>
    </row>
    <row r="200" ht="15.75" customHeight="1">
      <c r="A200" s="5"/>
      <c r="B200" s="5"/>
      <c r="C200" s="5"/>
      <c r="D200" s="5"/>
      <c r="E200" s="103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6"/>
      <c r="Z200" s="6"/>
    </row>
    <row r="201" ht="15.75" customHeight="1">
      <c r="A201" s="5"/>
      <c r="B201" s="5"/>
      <c r="C201" s="5"/>
      <c r="D201" s="5"/>
      <c r="E201" s="103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6"/>
      <c r="Z201" s="6"/>
    </row>
    <row r="202" ht="15.75" customHeight="1">
      <c r="A202" s="5"/>
      <c r="B202" s="5"/>
      <c r="C202" s="5"/>
      <c r="D202" s="5"/>
      <c r="E202" s="103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6"/>
      <c r="Z202" s="6"/>
    </row>
    <row r="203" ht="15.75" customHeight="1">
      <c r="A203" s="5"/>
      <c r="B203" s="5"/>
      <c r="C203" s="5"/>
      <c r="D203" s="5"/>
      <c r="E203" s="103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6"/>
      <c r="Z203" s="6"/>
    </row>
    <row r="204" ht="15.75" customHeight="1">
      <c r="A204" s="5"/>
      <c r="B204" s="5"/>
      <c r="C204" s="5"/>
      <c r="D204" s="5"/>
      <c r="E204" s="103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6"/>
      <c r="Z204" s="6"/>
    </row>
    <row r="205" ht="15.75" customHeight="1">
      <c r="A205" s="5"/>
      <c r="B205" s="5"/>
      <c r="C205" s="5"/>
      <c r="D205" s="5"/>
      <c r="E205" s="103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6"/>
      <c r="Z205" s="6"/>
    </row>
    <row r="206" ht="15.75" customHeight="1">
      <c r="A206" s="5"/>
      <c r="B206" s="5"/>
      <c r="C206" s="5"/>
      <c r="D206" s="5"/>
      <c r="E206" s="103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6"/>
      <c r="Z206" s="6"/>
    </row>
    <row r="207" ht="15.75" customHeight="1">
      <c r="A207" s="5"/>
      <c r="B207" s="5"/>
      <c r="C207" s="5"/>
      <c r="D207" s="5"/>
      <c r="E207" s="103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6"/>
      <c r="Z207" s="6"/>
    </row>
    <row r="208" ht="15.75" customHeight="1">
      <c r="A208" s="5"/>
      <c r="B208" s="5"/>
      <c r="C208" s="5"/>
      <c r="D208" s="5"/>
      <c r="E208" s="103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6"/>
      <c r="Z208" s="6"/>
    </row>
    <row r="209" ht="15.75" customHeight="1">
      <c r="A209" s="5"/>
      <c r="B209" s="5"/>
      <c r="C209" s="5"/>
      <c r="D209" s="5"/>
      <c r="E209" s="103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6"/>
      <c r="Z209" s="6"/>
    </row>
    <row r="210" ht="15.75" customHeight="1">
      <c r="A210" s="5"/>
      <c r="B210" s="5"/>
      <c r="C210" s="5"/>
      <c r="D210" s="5"/>
      <c r="E210" s="103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6"/>
      <c r="Z210" s="6"/>
    </row>
    <row r="211" ht="15.75" customHeight="1">
      <c r="A211" s="5"/>
      <c r="B211" s="5"/>
      <c r="C211" s="5"/>
      <c r="D211" s="5"/>
      <c r="E211" s="103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6"/>
      <c r="Z211" s="6"/>
    </row>
    <row r="212" ht="15.75" customHeight="1">
      <c r="A212" s="5"/>
      <c r="B212" s="5"/>
      <c r="C212" s="5"/>
      <c r="D212" s="5"/>
      <c r="E212" s="103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6"/>
      <c r="Z212" s="6"/>
    </row>
    <row r="213" ht="15.75" customHeight="1">
      <c r="A213" s="5"/>
      <c r="B213" s="5"/>
      <c r="C213" s="5"/>
      <c r="D213" s="5"/>
      <c r="E213" s="103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6"/>
      <c r="Z213" s="6"/>
    </row>
    <row r="214" ht="15.75" customHeight="1">
      <c r="A214" s="5"/>
      <c r="B214" s="5"/>
      <c r="C214" s="5"/>
      <c r="D214" s="5"/>
      <c r="E214" s="103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6"/>
      <c r="Z214" s="6"/>
    </row>
    <row r="215" ht="15.75" customHeight="1">
      <c r="A215" s="5"/>
      <c r="B215" s="5"/>
      <c r="C215" s="5"/>
      <c r="D215" s="5"/>
      <c r="E215" s="103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6"/>
      <c r="Z215" s="6"/>
    </row>
    <row r="216" ht="15.75" customHeight="1">
      <c r="A216" s="5"/>
      <c r="B216" s="5"/>
      <c r="C216" s="5"/>
      <c r="D216" s="5"/>
      <c r="E216" s="103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6"/>
      <c r="Z216" s="6"/>
    </row>
    <row r="217" ht="15.75" customHeight="1">
      <c r="A217" s="5"/>
      <c r="B217" s="5"/>
      <c r="C217" s="5"/>
      <c r="D217" s="5"/>
      <c r="E217" s="103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6"/>
      <c r="Z217" s="6"/>
    </row>
    <row r="218" ht="15.75" customHeight="1">
      <c r="A218" s="5"/>
      <c r="B218" s="5"/>
      <c r="C218" s="5"/>
      <c r="D218" s="5"/>
      <c r="E218" s="103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6"/>
      <c r="Z218" s="6"/>
    </row>
    <row r="219" ht="15.75" customHeight="1">
      <c r="A219" s="5"/>
      <c r="B219" s="5"/>
      <c r="C219" s="5"/>
      <c r="D219" s="5"/>
      <c r="E219" s="103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6"/>
      <c r="Z219" s="6"/>
    </row>
    <row r="220" ht="15.75" customHeight="1">
      <c r="A220" s="5"/>
      <c r="B220" s="5"/>
      <c r="C220" s="5"/>
      <c r="D220" s="5"/>
      <c r="E220" s="103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6"/>
      <c r="Z220" s="6"/>
    </row>
    <row r="221" ht="15.75" customHeight="1">
      <c r="A221" s="5"/>
      <c r="B221" s="5"/>
      <c r="C221" s="5"/>
      <c r="D221" s="5"/>
      <c r="E221" s="103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6"/>
      <c r="Z221" s="6"/>
    </row>
    <row r="222" ht="15.75" customHeight="1">
      <c r="A222" s="5"/>
      <c r="B222" s="5"/>
      <c r="C222" s="5"/>
      <c r="D222" s="5"/>
      <c r="E222" s="103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6"/>
      <c r="Z222" s="6"/>
    </row>
    <row r="223" ht="15.75" customHeight="1">
      <c r="A223" s="5"/>
      <c r="B223" s="5"/>
      <c r="C223" s="5"/>
      <c r="D223" s="5"/>
      <c r="E223" s="103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6"/>
      <c r="Z223" s="6"/>
    </row>
    <row r="224" ht="15.75" customHeight="1">
      <c r="A224" s="5"/>
      <c r="B224" s="5"/>
      <c r="C224" s="5"/>
      <c r="D224" s="5"/>
      <c r="E224" s="103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6"/>
      <c r="Z224" s="6"/>
    </row>
    <row r="225" ht="15.75" customHeight="1">
      <c r="A225" s="5"/>
      <c r="B225" s="5"/>
      <c r="C225" s="5"/>
      <c r="D225" s="5"/>
      <c r="E225" s="103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6"/>
      <c r="Z225" s="6"/>
    </row>
    <row r="226" ht="15.75" customHeight="1">
      <c r="A226" s="5"/>
      <c r="B226" s="5"/>
      <c r="C226" s="5"/>
      <c r="D226" s="5"/>
      <c r="E226" s="103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6"/>
      <c r="Z226" s="6"/>
    </row>
    <row r="227" ht="15.75" customHeight="1">
      <c r="A227" s="5"/>
      <c r="B227" s="5"/>
      <c r="C227" s="5"/>
      <c r="D227" s="5"/>
      <c r="E227" s="103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6"/>
      <c r="Z227" s="6"/>
    </row>
    <row r="228" ht="15.75" customHeight="1">
      <c r="A228" s="5"/>
      <c r="B228" s="5"/>
      <c r="C228" s="5"/>
      <c r="D228" s="5"/>
      <c r="E228" s="103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6"/>
      <c r="Z228" s="6"/>
    </row>
    <row r="229" ht="15.75" customHeight="1">
      <c r="A229" s="5"/>
      <c r="B229" s="5"/>
      <c r="C229" s="5"/>
      <c r="D229" s="5"/>
      <c r="E229" s="103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6"/>
      <c r="Z229" s="6"/>
    </row>
    <row r="230" ht="15.75" customHeight="1">
      <c r="A230" s="5"/>
      <c r="B230" s="5"/>
      <c r="C230" s="5"/>
      <c r="D230" s="5"/>
      <c r="E230" s="103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6"/>
      <c r="Z230" s="6"/>
    </row>
    <row r="231" ht="15.75" customHeight="1">
      <c r="A231" s="5"/>
      <c r="B231" s="5"/>
      <c r="C231" s="5"/>
      <c r="D231" s="5"/>
      <c r="E231" s="103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6"/>
      <c r="Z231" s="6"/>
    </row>
    <row r="232" ht="15.75" customHeight="1">
      <c r="A232" s="5"/>
      <c r="B232" s="5"/>
      <c r="C232" s="5"/>
      <c r="D232" s="5"/>
      <c r="E232" s="103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6"/>
      <c r="Z232" s="6"/>
    </row>
    <row r="233" ht="15.75" customHeight="1">
      <c r="A233" s="5"/>
      <c r="B233" s="5"/>
      <c r="C233" s="5"/>
      <c r="D233" s="5"/>
      <c r="E233" s="103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6"/>
      <c r="Z233" s="6"/>
    </row>
    <row r="234" ht="15.75" customHeight="1">
      <c r="A234" s="5"/>
      <c r="B234" s="5"/>
      <c r="C234" s="5"/>
      <c r="D234" s="5"/>
      <c r="E234" s="103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6"/>
      <c r="Z234" s="6"/>
    </row>
    <row r="235" ht="15.75" customHeight="1">
      <c r="A235" s="5"/>
      <c r="B235" s="5"/>
      <c r="C235" s="5"/>
      <c r="D235" s="5"/>
      <c r="E235" s="103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6"/>
      <c r="Z235" s="6"/>
    </row>
    <row r="236" ht="15.75" customHeight="1">
      <c r="A236" s="5"/>
      <c r="B236" s="5"/>
      <c r="C236" s="5"/>
      <c r="D236" s="5"/>
      <c r="E236" s="103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6"/>
      <c r="Z236" s="6"/>
    </row>
    <row r="237" ht="15.75" customHeight="1">
      <c r="A237" s="5"/>
      <c r="B237" s="5"/>
      <c r="C237" s="5"/>
      <c r="D237" s="5"/>
      <c r="E237" s="103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6"/>
      <c r="Z237" s="6"/>
    </row>
    <row r="238" ht="15.75" customHeight="1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32">
    <mergeCell ref="H20:H23"/>
    <mergeCell ref="I20:I23"/>
    <mergeCell ref="J20:J23"/>
    <mergeCell ref="K20:K23"/>
    <mergeCell ref="A1:L1"/>
    <mergeCell ref="F17:K17"/>
    <mergeCell ref="A19:L19"/>
    <mergeCell ref="E20:E23"/>
    <mergeCell ref="F20:F23"/>
    <mergeCell ref="G20:G23"/>
    <mergeCell ref="L20:L23"/>
    <mergeCell ref="C26:D26"/>
    <mergeCell ref="C27:D27"/>
    <mergeCell ref="C28:D28"/>
    <mergeCell ref="C29:D29"/>
    <mergeCell ref="C30:D30"/>
    <mergeCell ref="C31:D31"/>
    <mergeCell ref="C32:D32"/>
    <mergeCell ref="C33:D33"/>
    <mergeCell ref="A28:A29"/>
    <mergeCell ref="B28:B29"/>
    <mergeCell ref="A30:A31"/>
    <mergeCell ref="B30:B31"/>
    <mergeCell ref="A32:A33"/>
    <mergeCell ref="B32:B33"/>
    <mergeCell ref="A20:D23"/>
    <mergeCell ref="A24:A25"/>
    <mergeCell ref="B24:B25"/>
    <mergeCell ref="C24:D24"/>
    <mergeCell ref="C25:D25"/>
    <mergeCell ref="A26:A27"/>
    <mergeCell ref="B26:B27"/>
  </mergeCells>
  <dataValidations>
    <dataValidation type="list" allowBlank="1" showErrorMessage="1" sqref="B10:B13 B15 B17:B18">
      <formula1>"กรุณาเลือก,Standard,Service,Finance"</formula1>
    </dataValidation>
    <dataValidation type="list" allowBlank="1" showErrorMessage="1" sqref="C12:C13 C15 C17:C18">
      <formula1>"กรุณาเลือก,CKPI,Cross Functional KPIs,Functional KPIs"</formula1>
    </dataValidation>
    <dataValidation type="list" allowBlank="1" showErrorMessage="1" sqref="C10:C11">
      <formula1>"CKPI,Cross Functional KPIs,Functional KPIs"</formula1>
    </dataValidation>
  </dataValidations>
  <printOptions/>
  <pageMargins bottom="0.15748031496062992" footer="0.0" header="0.0" left="0.2362204724409449" right="0.2362204724409449" top="0.35433070866141736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2.63" defaultRowHeight="15.0"/>
  <cols>
    <col customWidth="1" min="1" max="1" width="52.38"/>
    <col customWidth="1" min="2" max="2" width="24.63"/>
    <col customWidth="1" min="3" max="3" width="14.88"/>
    <col customWidth="1" min="4" max="4" width="32.0"/>
    <col customWidth="1" min="5" max="6" width="22.75"/>
    <col customWidth="1" min="7" max="25" width="8.13"/>
    <col customWidth="1" min="26" max="26" width="11.63"/>
  </cols>
  <sheetData>
    <row r="1" ht="36.75" customHeight="1">
      <c r="A1" s="105" t="s">
        <v>57</v>
      </c>
      <c r="B1" s="2"/>
      <c r="C1" s="2"/>
      <c r="D1" s="2"/>
      <c r="E1" s="2"/>
      <c r="F1" s="3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7"/>
      <c r="S1" s="107"/>
      <c r="T1" s="107"/>
      <c r="U1" s="107"/>
      <c r="V1" s="107"/>
      <c r="W1" s="107"/>
      <c r="X1" s="107"/>
      <c r="Y1" s="107"/>
      <c r="Z1" s="6"/>
    </row>
    <row r="2" ht="25.5" customHeight="1">
      <c r="A2" s="108" t="s">
        <v>1</v>
      </c>
      <c r="B2" s="3"/>
      <c r="C2" s="108" t="s">
        <v>2</v>
      </c>
      <c r="D2" s="2"/>
      <c r="E2" s="2"/>
      <c r="F2" s="3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7"/>
      <c r="S2" s="107"/>
      <c r="T2" s="107"/>
      <c r="U2" s="107"/>
      <c r="V2" s="107"/>
      <c r="W2" s="107"/>
      <c r="X2" s="107"/>
      <c r="Y2" s="107"/>
      <c r="Z2" s="6"/>
    </row>
    <row r="3" ht="25.5" customHeight="1">
      <c r="A3" s="108" t="s">
        <v>106</v>
      </c>
      <c r="B3" s="3"/>
      <c r="C3" s="108" t="s">
        <v>107</v>
      </c>
      <c r="D3" s="2"/>
      <c r="E3" s="2"/>
      <c r="F3" s="3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7"/>
      <c r="S3" s="107"/>
      <c r="T3" s="107"/>
      <c r="U3" s="107"/>
      <c r="V3" s="107"/>
      <c r="W3" s="107"/>
      <c r="X3" s="107"/>
      <c r="Y3" s="107"/>
      <c r="Z3" s="6"/>
    </row>
    <row r="4" ht="25.5" customHeight="1">
      <c r="A4" s="108" t="s">
        <v>5</v>
      </c>
      <c r="B4" s="3"/>
      <c r="C4" s="108" t="s">
        <v>108</v>
      </c>
      <c r="D4" s="2"/>
      <c r="E4" s="2"/>
      <c r="F4" s="3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7"/>
      <c r="S4" s="107"/>
      <c r="T4" s="107"/>
      <c r="U4" s="107"/>
      <c r="V4" s="107"/>
      <c r="W4" s="107"/>
      <c r="X4" s="107"/>
      <c r="Y4" s="107"/>
      <c r="Z4" s="6"/>
    </row>
    <row r="5" ht="25.5" customHeight="1">
      <c r="A5" s="16" t="s">
        <v>109</v>
      </c>
      <c r="B5" s="18"/>
      <c r="C5" s="109"/>
      <c r="D5" s="110"/>
      <c r="E5" s="111"/>
      <c r="F5" s="20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7"/>
      <c r="S5" s="107"/>
      <c r="T5" s="107"/>
      <c r="U5" s="107"/>
      <c r="V5" s="107"/>
      <c r="W5" s="107"/>
      <c r="X5" s="107"/>
      <c r="Y5" s="107"/>
      <c r="Z5" s="6"/>
    </row>
    <row r="6" ht="55.5" customHeight="1">
      <c r="A6" s="108" t="s">
        <v>110</v>
      </c>
      <c r="B6" s="3"/>
      <c r="C6" s="112" t="s">
        <v>111</v>
      </c>
      <c r="D6" s="2"/>
      <c r="E6" s="2"/>
      <c r="F6" s="3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6"/>
    </row>
    <row r="7" ht="55.5" customHeight="1">
      <c r="A7" s="108" t="s">
        <v>112</v>
      </c>
      <c r="B7" s="3"/>
      <c r="C7" s="112" t="s">
        <v>113</v>
      </c>
      <c r="D7" s="2"/>
      <c r="E7" s="2"/>
      <c r="F7" s="3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6"/>
    </row>
    <row r="8" ht="55.5" customHeight="1">
      <c r="A8" s="108" t="s">
        <v>114</v>
      </c>
      <c r="B8" s="3"/>
      <c r="C8" s="112" t="s">
        <v>115</v>
      </c>
      <c r="D8" s="2"/>
      <c r="E8" s="2"/>
      <c r="F8" s="3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6"/>
    </row>
    <row r="9" ht="55.5" customHeight="1">
      <c r="A9" s="108" t="s">
        <v>116</v>
      </c>
      <c r="B9" s="3"/>
      <c r="C9" s="112" t="s">
        <v>117</v>
      </c>
      <c r="D9" s="2"/>
      <c r="E9" s="2"/>
      <c r="F9" s="3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6"/>
    </row>
    <row r="10" ht="55.5" customHeight="1">
      <c r="A10" s="113" t="s">
        <v>118</v>
      </c>
      <c r="B10" s="114"/>
      <c r="C10" s="112" t="s">
        <v>119</v>
      </c>
      <c r="D10" s="2"/>
      <c r="E10" s="2"/>
      <c r="F10" s="3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6"/>
    </row>
    <row r="11" ht="26.25" customHeight="1">
      <c r="A11" s="57" t="s">
        <v>120</v>
      </c>
      <c r="B11" s="3"/>
      <c r="C11" s="115"/>
      <c r="D11" s="2"/>
      <c r="E11" s="2"/>
      <c r="F11" s="3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7"/>
      <c r="S11" s="107"/>
      <c r="T11" s="107"/>
      <c r="U11" s="107"/>
      <c r="V11" s="107"/>
      <c r="W11" s="107"/>
      <c r="X11" s="107"/>
      <c r="Y11" s="107"/>
      <c r="Z11" s="6"/>
    </row>
    <row r="12" ht="55.5" customHeight="1">
      <c r="A12" s="108" t="s">
        <v>121</v>
      </c>
      <c r="B12" s="3"/>
      <c r="C12" s="112" t="s">
        <v>122</v>
      </c>
      <c r="D12" s="2"/>
      <c r="E12" s="2"/>
      <c r="F12" s="3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6"/>
    </row>
    <row r="13" ht="55.5" customHeight="1">
      <c r="A13" s="116" t="s">
        <v>123</v>
      </c>
      <c r="B13" s="117"/>
      <c r="C13" s="112" t="s">
        <v>124</v>
      </c>
      <c r="D13" s="2"/>
      <c r="E13" s="2"/>
      <c r="F13" s="3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6"/>
    </row>
    <row r="14" ht="55.5" customHeight="1">
      <c r="A14" s="108" t="s">
        <v>125</v>
      </c>
      <c r="B14" s="3"/>
      <c r="C14" s="112" t="s">
        <v>126</v>
      </c>
      <c r="D14" s="2"/>
      <c r="E14" s="2"/>
      <c r="F14" s="3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6"/>
    </row>
    <row r="15" ht="25.5" customHeight="1">
      <c r="A15" s="118" t="s">
        <v>127</v>
      </c>
      <c r="B15" s="119"/>
      <c r="C15" s="115"/>
      <c r="D15" s="2"/>
      <c r="E15" s="2"/>
      <c r="F15" s="3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7"/>
      <c r="S15" s="107"/>
      <c r="T15" s="107"/>
      <c r="U15" s="107"/>
      <c r="V15" s="107"/>
      <c r="W15" s="107"/>
      <c r="X15" s="107"/>
      <c r="Y15" s="107"/>
      <c r="Z15" s="6"/>
    </row>
    <row r="16" ht="25.5" customHeight="1">
      <c r="A16" s="120" t="s">
        <v>128</v>
      </c>
      <c r="B16" s="120" t="s">
        <v>129</v>
      </c>
      <c r="C16" s="120" t="s">
        <v>130</v>
      </c>
      <c r="D16" s="120" t="s">
        <v>131</v>
      </c>
      <c r="E16" s="120" t="s">
        <v>132</v>
      </c>
      <c r="F16" s="120" t="s">
        <v>133</v>
      </c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6"/>
    </row>
    <row r="17" ht="25.5" customHeight="1">
      <c r="A17" s="121" t="s">
        <v>134</v>
      </c>
      <c r="B17" s="2"/>
      <c r="C17" s="2"/>
      <c r="D17" s="2"/>
      <c r="E17" s="2"/>
      <c r="F17" s="3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6"/>
    </row>
    <row r="18">
      <c r="A18" s="122" t="s">
        <v>135</v>
      </c>
      <c r="B18" s="122" t="s">
        <v>136</v>
      </c>
      <c r="C18" s="123" t="s">
        <v>137</v>
      </c>
      <c r="D18" s="123" t="s">
        <v>138</v>
      </c>
      <c r="E18" s="123" t="s">
        <v>139</v>
      </c>
      <c r="F18" s="123">
        <v>2.5</v>
      </c>
      <c r="G18" s="6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6"/>
    </row>
    <row r="19" ht="31.5" customHeight="1">
      <c r="A19" s="121" t="s">
        <v>140</v>
      </c>
      <c r="B19" s="2"/>
      <c r="C19" s="2"/>
      <c r="D19" s="2"/>
      <c r="E19" s="2"/>
      <c r="F19" s="3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6"/>
    </row>
    <row r="20">
      <c r="A20" s="122" t="s">
        <v>141</v>
      </c>
      <c r="B20" s="122" t="s">
        <v>142</v>
      </c>
      <c r="C20" s="124" t="s">
        <v>143</v>
      </c>
      <c r="D20" s="123" t="s">
        <v>144</v>
      </c>
      <c r="E20" s="123" t="s">
        <v>145</v>
      </c>
      <c r="F20" s="123">
        <v>2.5</v>
      </c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6"/>
    </row>
    <row r="21" ht="25.5" customHeight="1">
      <c r="A21" s="13"/>
      <c r="B21" s="93" t="s">
        <v>101</v>
      </c>
      <c r="C21" s="13"/>
      <c r="D21" s="95" t="s">
        <v>102</v>
      </c>
      <c r="E21" s="13"/>
      <c r="F21" s="13"/>
      <c r="G21" s="13"/>
      <c r="H21" s="13"/>
      <c r="I21" s="13"/>
      <c r="J21" s="13"/>
      <c r="K21" s="13"/>
      <c r="L21" s="13"/>
      <c r="M21" s="13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3"/>
      <c r="Y21" s="13"/>
      <c r="Z21" s="13"/>
    </row>
    <row r="22" ht="25.5" customHeight="1">
      <c r="A22" s="96" t="s">
        <v>103</v>
      </c>
      <c r="B22" s="97"/>
      <c r="C22" s="96" t="s">
        <v>103</v>
      </c>
      <c r="D22" s="98"/>
      <c r="E22" s="98"/>
      <c r="F22" s="13"/>
      <c r="G22" s="100"/>
      <c r="H22" s="100"/>
      <c r="I22" s="13"/>
      <c r="J22" s="13"/>
      <c r="K22" s="101"/>
      <c r="L22" s="13"/>
      <c r="M22" s="13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3"/>
      <c r="Y22" s="13"/>
      <c r="Z22" s="13"/>
    </row>
    <row r="23" ht="25.5" customHeight="1">
      <c r="A23" s="96" t="s">
        <v>104</v>
      </c>
      <c r="B23" s="97"/>
      <c r="C23" s="96" t="s">
        <v>104</v>
      </c>
      <c r="D23" s="98"/>
      <c r="E23" s="98"/>
      <c r="F23" s="13"/>
      <c r="G23" s="100"/>
      <c r="H23" s="100"/>
      <c r="I23" s="13"/>
      <c r="J23" s="13"/>
      <c r="K23" s="101"/>
      <c r="L23" s="13"/>
      <c r="M23" s="13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3"/>
      <c r="Y23" s="13"/>
      <c r="Z23" s="13"/>
    </row>
    <row r="24" ht="25.5" customHeight="1">
      <c r="A24" s="96" t="s">
        <v>105</v>
      </c>
      <c r="B24" s="97"/>
      <c r="C24" s="96" t="s">
        <v>105</v>
      </c>
      <c r="D24" s="98"/>
      <c r="E24" s="98"/>
      <c r="F24" s="13"/>
      <c r="G24" s="100"/>
      <c r="H24" s="100"/>
      <c r="I24" s="13"/>
      <c r="J24" s="13"/>
      <c r="K24" s="101"/>
      <c r="L24" s="13"/>
      <c r="M24" s="13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/>
      <c r="Y24" s="13"/>
      <c r="Z24" s="13"/>
    </row>
    <row r="25" ht="25.5" customHeight="1">
      <c r="A25" s="13"/>
      <c r="B25" s="13"/>
      <c r="C25" s="13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3"/>
      <c r="Y25" s="13"/>
      <c r="Z25" s="13"/>
    </row>
    <row r="26" ht="18.0" customHeight="1">
      <c r="A26" s="125"/>
      <c r="B26" s="125"/>
      <c r="C26" s="125"/>
      <c r="D26" s="125"/>
      <c r="E26" s="125"/>
      <c r="F26" s="125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6"/>
    </row>
    <row r="27" ht="18.0" customHeight="1">
      <c r="A27" s="125"/>
      <c r="B27" s="125"/>
      <c r="C27" s="125"/>
      <c r="D27" s="125"/>
      <c r="E27" s="125"/>
      <c r="F27" s="125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6"/>
    </row>
    <row r="28" ht="18.0" customHeight="1">
      <c r="A28" s="125"/>
      <c r="B28" s="125"/>
      <c r="C28" s="125"/>
      <c r="D28" s="125"/>
      <c r="E28" s="125"/>
      <c r="F28" s="125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6"/>
    </row>
    <row r="29" ht="18.0" customHeight="1">
      <c r="A29" s="125"/>
      <c r="B29" s="125"/>
      <c r="C29" s="125"/>
      <c r="D29" s="125"/>
      <c r="E29" s="125"/>
      <c r="F29" s="125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6"/>
    </row>
    <row r="30" ht="18.0" customHeight="1">
      <c r="A30" s="125"/>
      <c r="B30" s="125"/>
      <c r="C30" s="125"/>
      <c r="D30" s="125"/>
      <c r="E30" s="125"/>
      <c r="F30" s="125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6"/>
    </row>
    <row r="31" ht="18.0" customHeight="1">
      <c r="A31" s="125"/>
      <c r="B31" s="125"/>
      <c r="C31" s="125"/>
      <c r="D31" s="125"/>
      <c r="E31" s="125"/>
      <c r="F31" s="125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6"/>
    </row>
    <row r="32" ht="18.0" customHeight="1">
      <c r="A32" s="125"/>
      <c r="B32" s="125"/>
      <c r="C32" s="125"/>
      <c r="D32" s="125"/>
      <c r="E32" s="125"/>
      <c r="F32" s="125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6"/>
    </row>
    <row r="33" ht="18.0" customHeight="1">
      <c r="A33" s="125"/>
      <c r="B33" s="125"/>
      <c r="C33" s="125"/>
      <c r="D33" s="125"/>
      <c r="E33" s="125"/>
      <c r="F33" s="125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6"/>
    </row>
    <row r="34" ht="18.0" customHeight="1">
      <c r="A34" s="125"/>
      <c r="B34" s="125"/>
      <c r="C34" s="125"/>
      <c r="D34" s="125"/>
      <c r="E34" s="125"/>
      <c r="F34" s="125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6"/>
    </row>
    <row r="35" ht="18.0" customHeight="1">
      <c r="A35" s="125"/>
      <c r="B35" s="125"/>
      <c r="C35" s="125"/>
      <c r="D35" s="125"/>
      <c r="E35" s="125"/>
      <c r="F35" s="125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6"/>
    </row>
    <row r="36" ht="18.0" customHeight="1">
      <c r="A36" s="125"/>
      <c r="B36" s="125"/>
      <c r="C36" s="125"/>
      <c r="D36" s="125"/>
      <c r="E36" s="125"/>
      <c r="F36" s="125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6"/>
    </row>
    <row r="37" ht="27.0" customHeight="1">
      <c r="A37" s="125"/>
      <c r="B37" s="125"/>
      <c r="C37" s="125"/>
      <c r="D37" s="125"/>
      <c r="E37" s="125"/>
      <c r="F37" s="125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6"/>
    </row>
    <row r="38" ht="27.0" customHeight="1">
      <c r="A38" s="125"/>
      <c r="B38" s="125"/>
      <c r="C38" s="125"/>
      <c r="D38" s="125"/>
      <c r="E38" s="125"/>
      <c r="F38" s="125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6"/>
    </row>
    <row r="39" ht="27.0" customHeight="1">
      <c r="A39" s="125"/>
      <c r="B39" s="125"/>
      <c r="C39" s="125"/>
      <c r="D39" s="125"/>
      <c r="E39" s="125"/>
      <c r="F39" s="125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6"/>
    </row>
    <row r="40" ht="27.0" customHeight="1">
      <c r="A40" s="125"/>
      <c r="B40" s="125"/>
      <c r="C40" s="125"/>
      <c r="D40" s="125"/>
      <c r="E40" s="125"/>
      <c r="F40" s="125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6"/>
    </row>
    <row r="41" ht="27.0" customHeight="1">
      <c r="A41" s="125"/>
      <c r="B41" s="125"/>
      <c r="C41" s="125"/>
      <c r="D41" s="125"/>
      <c r="E41" s="125"/>
      <c r="F41" s="125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6"/>
    </row>
    <row r="42" ht="27.0" customHeight="1">
      <c r="A42" s="125"/>
      <c r="B42" s="125"/>
      <c r="C42" s="125"/>
      <c r="D42" s="125"/>
      <c r="E42" s="125"/>
      <c r="F42" s="125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6"/>
    </row>
    <row r="43" ht="27.0" customHeight="1">
      <c r="A43" s="125"/>
      <c r="B43" s="125"/>
      <c r="C43" s="125"/>
      <c r="D43" s="125"/>
      <c r="E43" s="125"/>
      <c r="F43" s="125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6"/>
    </row>
    <row r="44" ht="27.0" customHeight="1">
      <c r="A44" s="125"/>
      <c r="B44" s="125"/>
      <c r="C44" s="125"/>
      <c r="D44" s="125"/>
      <c r="E44" s="125"/>
      <c r="F44" s="125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6"/>
    </row>
    <row r="45" ht="27.0" customHeight="1">
      <c r="A45" s="125"/>
      <c r="B45" s="125"/>
      <c r="C45" s="125"/>
      <c r="D45" s="125"/>
      <c r="E45" s="125"/>
      <c r="F45" s="125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6"/>
    </row>
    <row r="46" ht="27.0" customHeight="1">
      <c r="A46" s="125"/>
      <c r="B46" s="125"/>
      <c r="C46" s="125"/>
      <c r="D46" s="125"/>
      <c r="E46" s="125"/>
      <c r="F46" s="125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6"/>
    </row>
    <row r="47" ht="27.0" customHeight="1">
      <c r="A47" s="125"/>
      <c r="B47" s="125"/>
      <c r="C47" s="125"/>
      <c r="D47" s="125"/>
      <c r="E47" s="125"/>
      <c r="F47" s="125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6"/>
    </row>
    <row r="48" ht="27.0" customHeight="1">
      <c r="A48" s="125"/>
      <c r="B48" s="125"/>
      <c r="C48" s="125"/>
      <c r="D48" s="125"/>
      <c r="E48" s="125"/>
      <c r="F48" s="125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6"/>
    </row>
    <row r="49" ht="27.0" customHeight="1">
      <c r="A49" s="125"/>
      <c r="B49" s="125"/>
      <c r="C49" s="125"/>
      <c r="D49" s="125"/>
      <c r="E49" s="125"/>
      <c r="F49" s="125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6"/>
    </row>
    <row r="50" ht="27.0" customHeight="1">
      <c r="A50" s="125"/>
      <c r="B50" s="125"/>
      <c r="C50" s="125"/>
      <c r="D50" s="125"/>
      <c r="E50" s="125"/>
      <c r="F50" s="125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6"/>
    </row>
    <row r="51" ht="27.0" customHeight="1">
      <c r="A51" s="125"/>
      <c r="B51" s="125"/>
      <c r="C51" s="125"/>
      <c r="D51" s="125"/>
      <c r="E51" s="125"/>
      <c r="F51" s="125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6"/>
    </row>
    <row r="52" ht="27.0" customHeight="1">
      <c r="A52" s="125"/>
      <c r="B52" s="125"/>
      <c r="C52" s="125"/>
      <c r="D52" s="125"/>
      <c r="E52" s="125"/>
      <c r="F52" s="125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6"/>
    </row>
    <row r="53" ht="27.0" customHeight="1">
      <c r="A53" s="125"/>
      <c r="B53" s="125"/>
      <c r="C53" s="125"/>
      <c r="D53" s="125"/>
      <c r="E53" s="125"/>
      <c r="F53" s="125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6"/>
    </row>
    <row r="54" ht="27.0" customHeight="1">
      <c r="A54" s="125"/>
      <c r="B54" s="125"/>
      <c r="C54" s="125"/>
      <c r="D54" s="125"/>
      <c r="E54" s="125"/>
      <c r="F54" s="125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6"/>
    </row>
    <row r="55" ht="27.0" customHeight="1">
      <c r="A55" s="125"/>
      <c r="B55" s="125"/>
      <c r="C55" s="125"/>
      <c r="D55" s="125"/>
      <c r="E55" s="125"/>
      <c r="F55" s="125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6"/>
    </row>
    <row r="56" ht="27.0" customHeight="1">
      <c r="A56" s="125"/>
      <c r="B56" s="125"/>
      <c r="C56" s="125"/>
      <c r="D56" s="125"/>
      <c r="E56" s="125"/>
      <c r="F56" s="125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6"/>
    </row>
    <row r="57" ht="27.0" customHeight="1">
      <c r="A57" s="125"/>
      <c r="B57" s="125"/>
      <c r="C57" s="125"/>
      <c r="D57" s="125"/>
      <c r="E57" s="125"/>
      <c r="F57" s="125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6"/>
    </row>
    <row r="58" ht="27.0" customHeight="1">
      <c r="A58" s="125"/>
      <c r="B58" s="125"/>
      <c r="C58" s="125"/>
      <c r="D58" s="125"/>
      <c r="E58" s="125"/>
      <c r="F58" s="125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6"/>
    </row>
    <row r="59" ht="27.0" customHeight="1">
      <c r="A59" s="125"/>
      <c r="B59" s="125"/>
      <c r="C59" s="125"/>
      <c r="D59" s="125"/>
      <c r="E59" s="125"/>
      <c r="F59" s="125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6"/>
    </row>
    <row r="60" ht="27.0" customHeight="1">
      <c r="A60" s="125"/>
      <c r="B60" s="125"/>
      <c r="C60" s="125"/>
      <c r="D60" s="125"/>
      <c r="E60" s="125"/>
      <c r="F60" s="125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6"/>
    </row>
    <row r="61" ht="27.0" customHeight="1">
      <c r="A61" s="125"/>
      <c r="B61" s="125"/>
      <c r="C61" s="125"/>
      <c r="D61" s="125"/>
      <c r="E61" s="125"/>
      <c r="F61" s="125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6"/>
    </row>
    <row r="62" ht="27.0" customHeight="1">
      <c r="A62" s="125"/>
      <c r="B62" s="125"/>
      <c r="C62" s="125"/>
      <c r="D62" s="125"/>
      <c r="E62" s="125"/>
      <c r="F62" s="125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6"/>
    </row>
    <row r="63" ht="27.0" customHeight="1">
      <c r="A63" s="125"/>
      <c r="B63" s="125"/>
      <c r="C63" s="125"/>
      <c r="D63" s="125"/>
      <c r="E63" s="125"/>
      <c r="F63" s="125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6"/>
    </row>
    <row r="64" ht="27.0" customHeight="1">
      <c r="A64" s="125"/>
      <c r="B64" s="125"/>
      <c r="C64" s="125"/>
      <c r="D64" s="125"/>
      <c r="E64" s="125"/>
      <c r="F64" s="125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6"/>
    </row>
    <row r="65" ht="27.0" customHeight="1">
      <c r="A65" s="125"/>
      <c r="B65" s="125"/>
      <c r="C65" s="125"/>
      <c r="D65" s="125"/>
      <c r="E65" s="125"/>
      <c r="F65" s="125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6"/>
    </row>
    <row r="66" ht="27.0" customHeight="1">
      <c r="A66" s="125"/>
      <c r="B66" s="125"/>
      <c r="C66" s="125"/>
      <c r="D66" s="125"/>
      <c r="E66" s="125"/>
      <c r="F66" s="125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6"/>
    </row>
    <row r="67" ht="27.0" customHeight="1">
      <c r="A67" s="125"/>
      <c r="B67" s="125"/>
      <c r="C67" s="125"/>
      <c r="D67" s="125"/>
      <c r="E67" s="125"/>
      <c r="F67" s="125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6"/>
    </row>
    <row r="68" ht="27.0" customHeight="1">
      <c r="A68" s="125"/>
      <c r="B68" s="125"/>
      <c r="C68" s="125"/>
      <c r="D68" s="125"/>
      <c r="E68" s="125"/>
      <c r="F68" s="125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6"/>
    </row>
    <row r="69" ht="27.0" customHeight="1">
      <c r="A69" s="125"/>
      <c r="B69" s="125"/>
      <c r="C69" s="125"/>
      <c r="D69" s="125"/>
      <c r="E69" s="125"/>
      <c r="F69" s="125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6"/>
    </row>
    <row r="70" ht="27.0" customHeight="1">
      <c r="A70" s="125"/>
      <c r="B70" s="125"/>
      <c r="C70" s="125"/>
      <c r="D70" s="125"/>
      <c r="E70" s="125"/>
      <c r="F70" s="125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6"/>
    </row>
    <row r="71" ht="27.0" customHeight="1">
      <c r="A71" s="125"/>
      <c r="B71" s="125"/>
      <c r="C71" s="125"/>
      <c r="D71" s="125"/>
      <c r="E71" s="125"/>
      <c r="F71" s="125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6"/>
    </row>
    <row r="72" ht="27.0" customHeight="1">
      <c r="A72" s="125"/>
      <c r="B72" s="125"/>
      <c r="C72" s="125"/>
      <c r="D72" s="125"/>
      <c r="E72" s="125"/>
      <c r="F72" s="125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6"/>
    </row>
    <row r="73" ht="27.0" customHeight="1">
      <c r="A73" s="125"/>
      <c r="B73" s="125"/>
      <c r="C73" s="125"/>
      <c r="D73" s="125"/>
      <c r="E73" s="125"/>
      <c r="F73" s="125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6"/>
    </row>
    <row r="74" ht="27.0" customHeight="1">
      <c r="A74" s="125"/>
      <c r="B74" s="125"/>
      <c r="C74" s="125"/>
      <c r="D74" s="125"/>
      <c r="E74" s="125"/>
      <c r="F74" s="125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6"/>
    </row>
    <row r="75" ht="27.0" customHeight="1">
      <c r="A75" s="125"/>
      <c r="B75" s="125"/>
      <c r="C75" s="125"/>
      <c r="D75" s="125"/>
      <c r="E75" s="125"/>
      <c r="F75" s="125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6"/>
    </row>
    <row r="76" ht="27.0" customHeight="1">
      <c r="A76" s="125"/>
      <c r="B76" s="125"/>
      <c r="C76" s="125"/>
      <c r="D76" s="125"/>
      <c r="E76" s="125"/>
      <c r="F76" s="125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6"/>
    </row>
    <row r="77" ht="27.0" customHeight="1">
      <c r="A77" s="125"/>
      <c r="B77" s="125"/>
      <c r="C77" s="125"/>
      <c r="D77" s="125"/>
      <c r="E77" s="125"/>
      <c r="F77" s="125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6"/>
    </row>
    <row r="78" ht="27.0" customHeight="1">
      <c r="A78" s="125"/>
      <c r="B78" s="125"/>
      <c r="C78" s="125"/>
      <c r="D78" s="125"/>
      <c r="E78" s="125"/>
      <c r="F78" s="125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6"/>
    </row>
    <row r="79" ht="27.0" customHeight="1">
      <c r="A79" s="125"/>
      <c r="B79" s="125"/>
      <c r="C79" s="125"/>
      <c r="D79" s="125"/>
      <c r="E79" s="125"/>
      <c r="F79" s="125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6"/>
    </row>
    <row r="80" ht="27.0" customHeight="1">
      <c r="A80" s="125"/>
      <c r="B80" s="125"/>
      <c r="C80" s="125"/>
      <c r="D80" s="125"/>
      <c r="E80" s="125"/>
      <c r="F80" s="125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6"/>
    </row>
    <row r="81" ht="27.0" customHeight="1">
      <c r="A81" s="125"/>
      <c r="B81" s="125"/>
      <c r="C81" s="125"/>
      <c r="D81" s="125"/>
      <c r="E81" s="125"/>
      <c r="F81" s="125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6"/>
    </row>
    <row r="82" ht="27.0" customHeight="1">
      <c r="A82" s="125"/>
      <c r="B82" s="125"/>
      <c r="C82" s="125"/>
      <c r="D82" s="125"/>
      <c r="E82" s="125"/>
      <c r="F82" s="125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6"/>
    </row>
    <row r="83" ht="27.0" customHeight="1">
      <c r="A83" s="125"/>
      <c r="B83" s="125"/>
      <c r="C83" s="125"/>
      <c r="D83" s="125"/>
      <c r="E83" s="125"/>
      <c r="F83" s="125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6"/>
    </row>
    <row r="84" ht="27.0" customHeight="1">
      <c r="A84" s="125"/>
      <c r="B84" s="125"/>
      <c r="C84" s="125"/>
      <c r="D84" s="125"/>
      <c r="E84" s="125"/>
      <c r="F84" s="125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6"/>
    </row>
    <row r="85" ht="27.0" customHeight="1">
      <c r="A85" s="125"/>
      <c r="B85" s="125"/>
      <c r="C85" s="125"/>
      <c r="D85" s="125"/>
      <c r="E85" s="125"/>
      <c r="F85" s="125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6"/>
    </row>
    <row r="86" ht="27.0" customHeight="1">
      <c r="A86" s="125"/>
      <c r="B86" s="125"/>
      <c r="C86" s="125"/>
      <c r="D86" s="125"/>
      <c r="E86" s="125"/>
      <c r="F86" s="125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6"/>
    </row>
    <row r="87" ht="27.0" customHeight="1">
      <c r="A87" s="125"/>
      <c r="B87" s="125"/>
      <c r="C87" s="125"/>
      <c r="D87" s="125"/>
      <c r="E87" s="125"/>
      <c r="F87" s="125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6"/>
    </row>
    <row r="88" ht="27.0" customHeight="1">
      <c r="A88" s="125"/>
      <c r="B88" s="125"/>
      <c r="C88" s="125"/>
      <c r="D88" s="125"/>
      <c r="E88" s="125"/>
      <c r="F88" s="125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6"/>
    </row>
    <row r="89" ht="27.0" customHeight="1">
      <c r="A89" s="125"/>
      <c r="B89" s="125"/>
      <c r="C89" s="125"/>
      <c r="D89" s="125"/>
      <c r="E89" s="125"/>
      <c r="F89" s="125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6"/>
    </row>
    <row r="90" ht="27.0" customHeight="1">
      <c r="A90" s="125"/>
      <c r="B90" s="125"/>
      <c r="C90" s="125"/>
      <c r="D90" s="125"/>
      <c r="E90" s="125"/>
      <c r="F90" s="125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6"/>
    </row>
    <row r="91" ht="27.0" customHeight="1">
      <c r="A91" s="125"/>
      <c r="B91" s="125"/>
      <c r="C91" s="125"/>
      <c r="D91" s="125"/>
      <c r="E91" s="125"/>
      <c r="F91" s="125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6"/>
    </row>
    <row r="92" ht="27.0" customHeight="1">
      <c r="A92" s="125"/>
      <c r="B92" s="125"/>
      <c r="C92" s="125"/>
      <c r="D92" s="125"/>
      <c r="E92" s="125"/>
      <c r="F92" s="125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6"/>
    </row>
    <row r="93" ht="27.0" customHeight="1">
      <c r="A93" s="125"/>
      <c r="B93" s="125"/>
      <c r="C93" s="125"/>
      <c r="D93" s="125"/>
      <c r="E93" s="125"/>
      <c r="F93" s="125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6"/>
    </row>
    <row r="94" ht="27.0" customHeight="1">
      <c r="A94" s="125"/>
      <c r="B94" s="125"/>
      <c r="C94" s="125"/>
      <c r="D94" s="125"/>
      <c r="E94" s="125"/>
      <c r="F94" s="125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6"/>
    </row>
    <row r="95" ht="27.0" customHeight="1">
      <c r="A95" s="125"/>
      <c r="B95" s="125"/>
      <c r="C95" s="125"/>
      <c r="D95" s="125"/>
      <c r="E95" s="125"/>
      <c r="F95" s="125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6"/>
    </row>
    <row r="96" ht="27.0" customHeight="1">
      <c r="A96" s="125"/>
      <c r="B96" s="125"/>
      <c r="C96" s="125"/>
      <c r="D96" s="125"/>
      <c r="E96" s="125"/>
      <c r="F96" s="125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6"/>
    </row>
    <row r="97" ht="27.0" customHeight="1">
      <c r="A97" s="125"/>
      <c r="B97" s="125"/>
      <c r="C97" s="125"/>
      <c r="D97" s="125"/>
      <c r="E97" s="125"/>
      <c r="F97" s="125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6"/>
    </row>
    <row r="98" ht="27.0" customHeight="1">
      <c r="A98" s="125"/>
      <c r="B98" s="125"/>
      <c r="C98" s="125"/>
      <c r="D98" s="125"/>
      <c r="E98" s="125"/>
      <c r="F98" s="125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6"/>
    </row>
    <row r="99" ht="27.0" customHeight="1">
      <c r="A99" s="125"/>
      <c r="B99" s="125"/>
      <c r="C99" s="125"/>
      <c r="D99" s="125"/>
      <c r="E99" s="125"/>
      <c r="F99" s="125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6"/>
    </row>
    <row r="100" ht="27.0" customHeight="1">
      <c r="A100" s="125"/>
      <c r="B100" s="125"/>
      <c r="C100" s="125"/>
      <c r="D100" s="125"/>
      <c r="E100" s="125"/>
      <c r="F100" s="125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6"/>
    </row>
    <row r="101" ht="27.0" customHeight="1">
      <c r="A101" s="125"/>
      <c r="B101" s="125"/>
      <c r="C101" s="125"/>
      <c r="D101" s="125"/>
      <c r="E101" s="125"/>
      <c r="F101" s="125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6"/>
    </row>
    <row r="102" ht="27.0" customHeight="1">
      <c r="A102" s="125"/>
      <c r="B102" s="125"/>
      <c r="C102" s="125"/>
      <c r="D102" s="125"/>
      <c r="E102" s="125"/>
      <c r="F102" s="125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6"/>
    </row>
    <row r="103" ht="27.0" customHeight="1">
      <c r="A103" s="125"/>
      <c r="B103" s="125"/>
      <c r="C103" s="125"/>
      <c r="D103" s="125"/>
      <c r="E103" s="125"/>
      <c r="F103" s="125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6"/>
    </row>
    <row r="104" ht="27.0" customHeight="1">
      <c r="A104" s="125"/>
      <c r="B104" s="125"/>
      <c r="C104" s="125"/>
      <c r="D104" s="125"/>
      <c r="E104" s="125"/>
      <c r="F104" s="125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6"/>
    </row>
    <row r="105" ht="27.0" customHeight="1">
      <c r="A105" s="125"/>
      <c r="B105" s="125"/>
      <c r="C105" s="125"/>
      <c r="D105" s="125"/>
      <c r="E105" s="125"/>
      <c r="F105" s="125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6"/>
    </row>
    <row r="106" ht="27.0" customHeight="1">
      <c r="A106" s="125"/>
      <c r="B106" s="125"/>
      <c r="C106" s="125"/>
      <c r="D106" s="125"/>
      <c r="E106" s="125"/>
      <c r="F106" s="125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6"/>
    </row>
    <row r="107" ht="27.0" customHeight="1">
      <c r="A107" s="125"/>
      <c r="B107" s="125"/>
      <c r="C107" s="125"/>
      <c r="D107" s="125"/>
      <c r="E107" s="125"/>
      <c r="F107" s="125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6"/>
    </row>
    <row r="108" ht="27.0" customHeight="1">
      <c r="A108" s="125"/>
      <c r="B108" s="125"/>
      <c r="C108" s="125"/>
      <c r="D108" s="125"/>
      <c r="E108" s="125"/>
      <c r="F108" s="125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6"/>
    </row>
    <row r="109" ht="27.0" customHeight="1">
      <c r="A109" s="125"/>
      <c r="B109" s="125"/>
      <c r="C109" s="125"/>
      <c r="D109" s="125"/>
      <c r="E109" s="125"/>
      <c r="F109" s="125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6"/>
    </row>
    <row r="110" ht="27.0" customHeight="1">
      <c r="A110" s="125"/>
      <c r="B110" s="125"/>
      <c r="C110" s="125"/>
      <c r="D110" s="125"/>
      <c r="E110" s="125"/>
      <c r="F110" s="125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6"/>
    </row>
    <row r="111" ht="27.0" customHeight="1">
      <c r="A111" s="125"/>
      <c r="B111" s="125"/>
      <c r="C111" s="125"/>
      <c r="D111" s="125"/>
      <c r="E111" s="125"/>
      <c r="F111" s="125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6"/>
    </row>
    <row r="112" ht="27.0" customHeight="1">
      <c r="A112" s="125"/>
      <c r="B112" s="125"/>
      <c r="C112" s="125"/>
      <c r="D112" s="125"/>
      <c r="E112" s="125"/>
      <c r="F112" s="125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6"/>
    </row>
    <row r="113" ht="27.0" customHeight="1">
      <c r="A113" s="125"/>
      <c r="B113" s="125"/>
      <c r="C113" s="125"/>
      <c r="D113" s="125"/>
      <c r="E113" s="125"/>
      <c r="F113" s="125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6"/>
    </row>
    <row r="114" ht="27.0" customHeight="1">
      <c r="A114" s="125"/>
      <c r="B114" s="125"/>
      <c r="C114" s="125"/>
      <c r="D114" s="125"/>
      <c r="E114" s="125"/>
      <c r="F114" s="125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6"/>
    </row>
    <row r="115" ht="27.0" customHeight="1">
      <c r="A115" s="125"/>
      <c r="B115" s="125"/>
      <c r="C115" s="125"/>
      <c r="D115" s="125"/>
      <c r="E115" s="125"/>
      <c r="F115" s="125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6"/>
    </row>
    <row r="116" ht="27.0" customHeight="1">
      <c r="A116" s="125"/>
      <c r="B116" s="125"/>
      <c r="C116" s="125"/>
      <c r="D116" s="125"/>
      <c r="E116" s="125"/>
      <c r="F116" s="125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6"/>
    </row>
    <row r="117" ht="27.0" customHeight="1">
      <c r="A117" s="125"/>
      <c r="B117" s="125"/>
      <c r="C117" s="125"/>
      <c r="D117" s="125"/>
      <c r="E117" s="125"/>
      <c r="F117" s="125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6"/>
    </row>
    <row r="118" ht="27.0" customHeight="1">
      <c r="A118" s="125"/>
      <c r="B118" s="125"/>
      <c r="C118" s="125"/>
      <c r="D118" s="125"/>
      <c r="E118" s="125"/>
      <c r="F118" s="125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6"/>
    </row>
    <row r="119" ht="27.0" customHeight="1">
      <c r="A119" s="125"/>
      <c r="B119" s="125"/>
      <c r="C119" s="125"/>
      <c r="D119" s="125"/>
      <c r="E119" s="125"/>
      <c r="F119" s="125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6"/>
    </row>
    <row r="120" ht="27.0" customHeight="1">
      <c r="A120" s="125"/>
      <c r="B120" s="125"/>
      <c r="C120" s="125"/>
      <c r="D120" s="125"/>
      <c r="E120" s="125"/>
      <c r="F120" s="125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6"/>
    </row>
    <row r="121" ht="27.0" customHeight="1">
      <c r="A121" s="125"/>
      <c r="B121" s="125"/>
      <c r="C121" s="125"/>
      <c r="D121" s="125"/>
      <c r="E121" s="125"/>
      <c r="F121" s="125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6"/>
    </row>
    <row r="122" ht="27.0" customHeight="1">
      <c r="A122" s="125"/>
      <c r="B122" s="125"/>
      <c r="C122" s="125"/>
      <c r="D122" s="125"/>
      <c r="E122" s="125"/>
      <c r="F122" s="125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6"/>
    </row>
    <row r="123" ht="27.0" customHeight="1">
      <c r="A123" s="125"/>
      <c r="B123" s="125"/>
      <c r="C123" s="125"/>
      <c r="D123" s="125"/>
      <c r="E123" s="125"/>
      <c r="F123" s="125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6"/>
    </row>
    <row r="124" ht="27.0" customHeight="1">
      <c r="A124" s="125"/>
      <c r="B124" s="125"/>
      <c r="C124" s="125"/>
      <c r="D124" s="125"/>
      <c r="E124" s="125"/>
      <c r="F124" s="125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6"/>
    </row>
    <row r="125" ht="27.0" customHeight="1">
      <c r="A125" s="125"/>
      <c r="B125" s="125"/>
      <c r="C125" s="125"/>
      <c r="D125" s="125"/>
      <c r="E125" s="125"/>
      <c r="F125" s="125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6"/>
    </row>
    <row r="126" ht="27.0" customHeight="1">
      <c r="A126" s="125"/>
      <c r="B126" s="125"/>
      <c r="C126" s="125"/>
      <c r="D126" s="125"/>
      <c r="E126" s="125"/>
      <c r="F126" s="125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6"/>
    </row>
    <row r="127" ht="27.0" customHeight="1">
      <c r="A127" s="125"/>
      <c r="B127" s="125"/>
      <c r="C127" s="125"/>
      <c r="D127" s="125"/>
      <c r="E127" s="125"/>
      <c r="F127" s="125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6"/>
    </row>
    <row r="128" ht="27.0" customHeight="1">
      <c r="A128" s="125"/>
      <c r="B128" s="125"/>
      <c r="C128" s="125"/>
      <c r="D128" s="125"/>
      <c r="E128" s="125"/>
      <c r="F128" s="125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6"/>
    </row>
    <row r="129" ht="27.0" customHeight="1">
      <c r="A129" s="125"/>
      <c r="B129" s="125"/>
      <c r="C129" s="125"/>
      <c r="D129" s="125"/>
      <c r="E129" s="125"/>
      <c r="F129" s="125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6"/>
    </row>
    <row r="130" ht="27.0" customHeight="1">
      <c r="A130" s="125"/>
      <c r="B130" s="125"/>
      <c r="C130" s="125"/>
      <c r="D130" s="125"/>
      <c r="E130" s="125"/>
      <c r="F130" s="125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6"/>
    </row>
    <row r="131" ht="27.0" customHeight="1">
      <c r="A131" s="125"/>
      <c r="B131" s="125"/>
      <c r="C131" s="125"/>
      <c r="D131" s="125"/>
      <c r="E131" s="125"/>
      <c r="F131" s="125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6"/>
    </row>
    <row r="132" ht="27.0" customHeight="1">
      <c r="A132" s="125"/>
      <c r="B132" s="125"/>
      <c r="C132" s="125"/>
      <c r="D132" s="125"/>
      <c r="E132" s="125"/>
      <c r="F132" s="125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6"/>
    </row>
    <row r="133" ht="27.0" customHeight="1">
      <c r="A133" s="125"/>
      <c r="B133" s="125"/>
      <c r="C133" s="125"/>
      <c r="D133" s="125"/>
      <c r="E133" s="125"/>
      <c r="F133" s="125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6"/>
    </row>
    <row r="134" ht="27.0" customHeight="1">
      <c r="A134" s="125"/>
      <c r="B134" s="125"/>
      <c r="C134" s="125"/>
      <c r="D134" s="125"/>
      <c r="E134" s="125"/>
      <c r="F134" s="125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6"/>
    </row>
    <row r="135" ht="27.0" customHeight="1">
      <c r="A135" s="125"/>
      <c r="B135" s="125"/>
      <c r="C135" s="125"/>
      <c r="D135" s="125"/>
      <c r="E135" s="125"/>
      <c r="F135" s="125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6"/>
    </row>
    <row r="136" ht="27.0" customHeight="1">
      <c r="A136" s="125"/>
      <c r="B136" s="125"/>
      <c r="C136" s="125"/>
      <c r="D136" s="125"/>
      <c r="E136" s="125"/>
      <c r="F136" s="125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6"/>
    </row>
    <row r="137" ht="27.0" customHeight="1">
      <c r="A137" s="125"/>
      <c r="B137" s="125"/>
      <c r="C137" s="125"/>
      <c r="D137" s="125"/>
      <c r="E137" s="125"/>
      <c r="F137" s="125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6"/>
    </row>
    <row r="138" ht="27.0" customHeight="1">
      <c r="A138" s="125"/>
      <c r="B138" s="125"/>
      <c r="C138" s="125"/>
      <c r="D138" s="125"/>
      <c r="E138" s="125"/>
      <c r="F138" s="125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6"/>
    </row>
    <row r="139" ht="27.0" customHeight="1">
      <c r="A139" s="125"/>
      <c r="B139" s="125"/>
      <c r="C139" s="125"/>
      <c r="D139" s="125"/>
      <c r="E139" s="125"/>
      <c r="F139" s="125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6"/>
    </row>
    <row r="140" ht="27.0" customHeight="1">
      <c r="A140" s="125"/>
      <c r="B140" s="125"/>
      <c r="C140" s="125"/>
      <c r="D140" s="125"/>
      <c r="E140" s="125"/>
      <c r="F140" s="125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6"/>
    </row>
    <row r="141" ht="27.0" customHeight="1">
      <c r="A141" s="125"/>
      <c r="B141" s="125"/>
      <c r="C141" s="125"/>
      <c r="D141" s="125"/>
      <c r="E141" s="125"/>
      <c r="F141" s="125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6"/>
    </row>
    <row r="142" ht="27.0" customHeight="1">
      <c r="A142" s="125"/>
      <c r="B142" s="125"/>
      <c r="C142" s="125"/>
      <c r="D142" s="125"/>
      <c r="E142" s="125"/>
      <c r="F142" s="125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6"/>
    </row>
    <row r="143" ht="27.0" customHeight="1">
      <c r="A143" s="125"/>
      <c r="B143" s="125"/>
      <c r="C143" s="125"/>
      <c r="D143" s="125"/>
      <c r="E143" s="125"/>
      <c r="F143" s="125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6"/>
    </row>
    <row r="144" ht="27.0" customHeight="1">
      <c r="A144" s="125"/>
      <c r="B144" s="125"/>
      <c r="C144" s="125"/>
      <c r="D144" s="125"/>
      <c r="E144" s="125"/>
      <c r="F144" s="125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6"/>
    </row>
    <row r="145" ht="27.0" customHeight="1">
      <c r="A145" s="125"/>
      <c r="B145" s="125"/>
      <c r="C145" s="125"/>
      <c r="D145" s="125"/>
      <c r="E145" s="125"/>
      <c r="F145" s="125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6"/>
    </row>
    <row r="146" ht="27.0" customHeight="1">
      <c r="A146" s="125"/>
      <c r="B146" s="125"/>
      <c r="C146" s="125"/>
      <c r="D146" s="125"/>
      <c r="E146" s="125"/>
      <c r="F146" s="125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6"/>
    </row>
    <row r="147" ht="27.0" customHeight="1">
      <c r="A147" s="125"/>
      <c r="B147" s="125"/>
      <c r="C147" s="125"/>
      <c r="D147" s="125"/>
      <c r="E147" s="125"/>
      <c r="F147" s="125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6"/>
    </row>
    <row r="148" ht="27.0" customHeight="1">
      <c r="A148" s="125"/>
      <c r="B148" s="125"/>
      <c r="C148" s="125"/>
      <c r="D148" s="125"/>
      <c r="E148" s="125"/>
      <c r="F148" s="125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6"/>
    </row>
    <row r="149" ht="27.0" customHeight="1">
      <c r="A149" s="125"/>
      <c r="B149" s="125"/>
      <c r="C149" s="125"/>
      <c r="D149" s="125"/>
      <c r="E149" s="125"/>
      <c r="F149" s="125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6"/>
    </row>
    <row r="150" ht="27.0" customHeight="1">
      <c r="A150" s="125"/>
      <c r="B150" s="125"/>
      <c r="C150" s="125"/>
      <c r="D150" s="125"/>
      <c r="E150" s="125"/>
      <c r="F150" s="125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6"/>
    </row>
    <row r="151" ht="27.0" customHeight="1">
      <c r="A151" s="125"/>
      <c r="B151" s="125"/>
      <c r="C151" s="125"/>
      <c r="D151" s="125"/>
      <c r="E151" s="125"/>
      <c r="F151" s="125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6"/>
    </row>
    <row r="152" ht="27.0" customHeight="1">
      <c r="A152" s="125"/>
      <c r="B152" s="125"/>
      <c r="C152" s="125"/>
      <c r="D152" s="125"/>
      <c r="E152" s="125"/>
      <c r="F152" s="125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6"/>
    </row>
    <row r="153" ht="27.0" customHeight="1">
      <c r="A153" s="125"/>
      <c r="B153" s="125"/>
      <c r="C153" s="125"/>
      <c r="D153" s="125"/>
      <c r="E153" s="125"/>
      <c r="F153" s="125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6"/>
    </row>
    <row r="154" ht="27.0" customHeight="1">
      <c r="A154" s="125"/>
      <c r="B154" s="125"/>
      <c r="C154" s="125"/>
      <c r="D154" s="125"/>
      <c r="E154" s="125"/>
      <c r="F154" s="125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6"/>
    </row>
    <row r="155" ht="27.0" customHeight="1">
      <c r="A155" s="125"/>
      <c r="B155" s="125"/>
      <c r="C155" s="125"/>
      <c r="D155" s="125"/>
      <c r="E155" s="125"/>
      <c r="F155" s="125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6"/>
    </row>
    <row r="156" ht="27.0" customHeight="1">
      <c r="A156" s="125"/>
      <c r="B156" s="125"/>
      <c r="C156" s="125"/>
      <c r="D156" s="125"/>
      <c r="E156" s="125"/>
      <c r="F156" s="125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6"/>
    </row>
    <row r="157" ht="27.0" customHeight="1">
      <c r="A157" s="125"/>
      <c r="B157" s="125"/>
      <c r="C157" s="125"/>
      <c r="D157" s="125"/>
      <c r="E157" s="125"/>
      <c r="F157" s="125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6"/>
    </row>
    <row r="158" ht="27.0" customHeight="1">
      <c r="A158" s="125"/>
      <c r="B158" s="125"/>
      <c r="C158" s="125"/>
      <c r="D158" s="125"/>
      <c r="E158" s="125"/>
      <c r="F158" s="125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6"/>
    </row>
    <row r="159" ht="27.0" customHeight="1">
      <c r="A159" s="125"/>
      <c r="B159" s="125"/>
      <c r="C159" s="125"/>
      <c r="D159" s="125"/>
      <c r="E159" s="125"/>
      <c r="F159" s="125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6"/>
    </row>
    <row r="160" ht="27.0" customHeight="1">
      <c r="A160" s="125"/>
      <c r="B160" s="125"/>
      <c r="C160" s="125"/>
      <c r="D160" s="125"/>
      <c r="E160" s="125"/>
      <c r="F160" s="125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6"/>
    </row>
    <row r="161" ht="27.0" customHeight="1">
      <c r="A161" s="125"/>
      <c r="B161" s="125"/>
      <c r="C161" s="125"/>
      <c r="D161" s="125"/>
      <c r="E161" s="125"/>
      <c r="F161" s="125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6"/>
    </row>
    <row r="162" ht="27.0" customHeight="1">
      <c r="A162" s="125"/>
      <c r="B162" s="125"/>
      <c r="C162" s="125"/>
      <c r="D162" s="125"/>
      <c r="E162" s="125"/>
      <c r="F162" s="125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6"/>
    </row>
    <row r="163" ht="27.0" customHeight="1">
      <c r="A163" s="125"/>
      <c r="B163" s="125"/>
      <c r="C163" s="125"/>
      <c r="D163" s="125"/>
      <c r="E163" s="125"/>
      <c r="F163" s="125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6"/>
    </row>
    <row r="164" ht="27.0" customHeight="1">
      <c r="A164" s="125"/>
      <c r="B164" s="125"/>
      <c r="C164" s="125"/>
      <c r="D164" s="125"/>
      <c r="E164" s="125"/>
      <c r="F164" s="125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6"/>
    </row>
    <row r="165" ht="27.0" customHeight="1">
      <c r="A165" s="125"/>
      <c r="B165" s="125"/>
      <c r="C165" s="125"/>
      <c r="D165" s="125"/>
      <c r="E165" s="125"/>
      <c r="F165" s="125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6"/>
    </row>
    <row r="166" ht="27.0" customHeight="1">
      <c r="A166" s="125"/>
      <c r="B166" s="125"/>
      <c r="C166" s="125"/>
      <c r="D166" s="125"/>
      <c r="E166" s="125"/>
      <c r="F166" s="125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6"/>
    </row>
    <row r="167" ht="27.0" customHeight="1">
      <c r="A167" s="125"/>
      <c r="B167" s="125"/>
      <c r="C167" s="125"/>
      <c r="D167" s="125"/>
      <c r="E167" s="125"/>
      <c r="F167" s="125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6"/>
    </row>
    <row r="168" ht="27.0" customHeight="1">
      <c r="A168" s="125"/>
      <c r="B168" s="125"/>
      <c r="C168" s="125"/>
      <c r="D168" s="125"/>
      <c r="E168" s="125"/>
      <c r="F168" s="125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6"/>
    </row>
    <row r="169" ht="27.0" customHeight="1">
      <c r="A169" s="125"/>
      <c r="B169" s="125"/>
      <c r="C169" s="125"/>
      <c r="D169" s="125"/>
      <c r="E169" s="125"/>
      <c r="F169" s="125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6"/>
    </row>
    <row r="170" ht="27.0" customHeight="1">
      <c r="A170" s="125"/>
      <c r="B170" s="125"/>
      <c r="C170" s="125"/>
      <c r="D170" s="125"/>
      <c r="E170" s="125"/>
      <c r="F170" s="125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6"/>
    </row>
    <row r="171" ht="27.0" customHeight="1">
      <c r="A171" s="125"/>
      <c r="B171" s="125"/>
      <c r="C171" s="125"/>
      <c r="D171" s="125"/>
      <c r="E171" s="125"/>
      <c r="F171" s="125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6"/>
    </row>
    <row r="172" ht="27.0" customHeight="1">
      <c r="A172" s="125"/>
      <c r="B172" s="125"/>
      <c r="C172" s="125"/>
      <c r="D172" s="125"/>
      <c r="E172" s="125"/>
      <c r="F172" s="125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6"/>
    </row>
    <row r="173" ht="27.0" customHeight="1">
      <c r="A173" s="125"/>
      <c r="B173" s="125"/>
      <c r="C173" s="125"/>
      <c r="D173" s="125"/>
      <c r="E173" s="125"/>
      <c r="F173" s="125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6"/>
    </row>
    <row r="174" ht="27.0" customHeight="1">
      <c r="A174" s="125"/>
      <c r="B174" s="125"/>
      <c r="C174" s="125"/>
      <c r="D174" s="125"/>
      <c r="E174" s="125"/>
      <c r="F174" s="125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6"/>
    </row>
    <row r="175" ht="27.0" customHeight="1">
      <c r="A175" s="125"/>
      <c r="B175" s="125"/>
      <c r="C175" s="125"/>
      <c r="D175" s="125"/>
      <c r="E175" s="125"/>
      <c r="F175" s="125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6"/>
    </row>
    <row r="176" ht="27.0" customHeight="1">
      <c r="A176" s="125"/>
      <c r="B176" s="125"/>
      <c r="C176" s="125"/>
      <c r="D176" s="125"/>
      <c r="E176" s="125"/>
      <c r="F176" s="125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6"/>
    </row>
    <row r="177" ht="27.0" customHeight="1">
      <c r="A177" s="125"/>
      <c r="B177" s="125"/>
      <c r="C177" s="125"/>
      <c r="D177" s="125"/>
      <c r="E177" s="125"/>
      <c r="F177" s="125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6"/>
    </row>
    <row r="178" ht="27.0" customHeight="1">
      <c r="A178" s="125"/>
      <c r="B178" s="125"/>
      <c r="C178" s="125"/>
      <c r="D178" s="125"/>
      <c r="E178" s="125"/>
      <c r="F178" s="125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6"/>
    </row>
    <row r="179" ht="27.0" customHeight="1">
      <c r="A179" s="125"/>
      <c r="B179" s="125"/>
      <c r="C179" s="125"/>
      <c r="D179" s="125"/>
      <c r="E179" s="125"/>
      <c r="F179" s="125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6"/>
    </row>
    <row r="180" ht="27.0" customHeight="1">
      <c r="A180" s="125"/>
      <c r="B180" s="125"/>
      <c r="C180" s="125"/>
      <c r="D180" s="125"/>
      <c r="E180" s="125"/>
      <c r="F180" s="125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6"/>
    </row>
    <row r="181" ht="27.0" customHeight="1">
      <c r="A181" s="125"/>
      <c r="B181" s="125"/>
      <c r="C181" s="125"/>
      <c r="D181" s="125"/>
      <c r="E181" s="125"/>
      <c r="F181" s="125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6"/>
    </row>
    <row r="182" ht="27.0" customHeight="1">
      <c r="A182" s="125"/>
      <c r="B182" s="125"/>
      <c r="C182" s="125"/>
      <c r="D182" s="125"/>
      <c r="E182" s="125"/>
      <c r="F182" s="125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6"/>
    </row>
    <row r="183" ht="27.0" customHeight="1">
      <c r="A183" s="125"/>
      <c r="B183" s="125"/>
      <c r="C183" s="125"/>
      <c r="D183" s="125"/>
      <c r="E183" s="125"/>
      <c r="F183" s="125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6"/>
    </row>
    <row r="184" ht="27.0" customHeight="1">
      <c r="A184" s="125"/>
      <c r="B184" s="125"/>
      <c r="C184" s="125"/>
      <c r="D184" s="125"/>
      <c r="E184" s="125"/>
      <c r="F184" s="125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6"/>
    </row>
    <row r="185" ht="27.0" customHeight="1">
      <c r="A185" s="125"/>
      <c r="B185" s="125"/>
      <c r="C185" s="125"/>
      <c r="D185" s="125"/>
      <c r="E185" s="125"/>
      <c r="F185" s="125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6"/>
    </row>
    <row r="186" ht="27.0" customHeight="1">
      <c r="A186" s="125"/>
      <c r="B186" s="125"/>
      <c r="C186" s="125"/>
      <c r="D186" s="125"/>
      <c r="E186" s="125"/>
      <c r="F186" s="125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6"/>
    </row>
    <row r="187" ht="27.0" customHeight="1">
      <c r="A187" s="125"/>
      <c r="B187" s="125"/>
      <c r="C187" s="125"/>
      <c r="D187" s="125"/>
      <c r="E187" s="125"/>
      <c r="F187" s="125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6"/>
    </row>
    <row r="188" ht="27.0" customHeight="1">
      <c r="A188" s="125"/>
      <c r="B188" s="125"/>
      <c r="C188" s="125"/>
      <c r="D188" s="125"/>
      <c r="E188" s="125"/>
      <c r="F188" s="125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6"/>
    </row>
    <row r="189" ht="27.0" customHeight="1">
      <c r="A189" s="125"/>
      <c r="B189" s="125"/>
      <c r="C189" s="125"/>
      <c r="D189" s="125"/>
      <c r="E189" s="125"/>
      <c r="F189" s="125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6"/>
    </row>
    <row r="190" ht="27.0" customHeight="1">
      <c r="A190" s="125"/>
      <c r="B190" s="125"/>
      <c r="C190" s="125"/>
      <c r="D190" s="125"/>
      <c r="E190" s="125"/>
      <c r="F190" s="125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6"/>
    </row>
    <row r="191" ht="27.0" customHeight="1">
      <c r="A191" s="125"/>
      <c r="B191" s="125"/>
      <c r="C191" s="125"/>
      <c r="D191" s="125"/>
      <c r="E191" s="125"/>
      <c r="F191" s="125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6"/>
    </row>
    <row r="192" ht="27.0" customHeight="1">
      <c r="A192" s="125"/>
      <c r="B192" s="125"/>
      <c r="C192" s="125"/>
      <c r="D192" s="125"/>
      <c r="E192" s="125"/>
      <c r="F192" s="125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6"/>
    </row>
    <row r="193" ht="27.0" customHeight="1">
      <c r="A193" s="125"/>
      <c r="B193" s="125"/>
      <c r="C193" s="125"/>
      <c r="D193" s="125"/>
      <c r="E193" s="125"/>
      <c r="F193" s="125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6"/>
    </row>
    <row r="194" ht="27.0" customHeight="1">
      <c r="A194" s="125"/>
      <c r="B194" s="125"/>
      <c r="C194" s="125"/>
      <c r="D194" s="125"/>
      <c r="E194" s="125"/>
      <c r="F194" s="125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6"/>
    </row>
    <row r="195" ht="27.0" customHeight="1">
      <c r="A195" s="125"/>
      <c r="B195" s="125"/>
      <c r="C195" s="125"/>
      <c r="D195" s="125"/>
      <c r="E195" s="125"/>
      <c r="F195" s="125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6"/>
    </row>
    <row r="196" ht="27.0" customHeight="1">
      <c r="A196" s="125"/>
      <c r="B196" s="125"/>
      <c r="C196" s="125"/>
      <c r="D196" s="125"/>
      <c r="E196" s="125"/>
      <c r="F196" s="125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6"/>
    </row>
    <row r="197" ht="27.0" customHeight="1">
      <c r="A197" s="125"/>
      <c r="B197" s="125"/>
      <c r="C197" s="125"/>
      <c r="D197" s="125"/>
      <c r="E197" s="125"/>
      <c r="F197" s="125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6"/>
    </row>
    <row r="198" ht="27.0" customHeight="1">
      <c r="A198" s="125"/>
      <c r="B198" s="125"/>
      <c r="C198" s="125"/>
      <c r="D198" s="125"/>
      <c r="E198" s="125"/>
      <c r="F198" s="125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6"/>
    </row>
    <row r="199" ht="27.0" customHeight="1">
      <c r="A199" s="125"/>
      <c r="B199" s="125"/>
      <c r="C199" s="125"/>
      <c r="D199" s="125"/>
      <c r="E199" s="125"/>
      <c r="F199" s="125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6"/>
    </row>
    <row r="200" ht="27.0" customHeight="1">
      <c r="A200" s="125"/>
      <c r="B200" s="125"/>
      <c r="C200" s="125"/>
      <c r="D200" s="125"/>
      <c r="E200" s="125"/>
      <c r="F200" s="125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6"/>
    </row>
    <row r="201" ht="27.0" customHeight="1">
      <c r="A201" s="125"/>
      <c r="B201" s="125"/>
      <c r="C201" s="125"/>
      <c r="D201" s="125"/>
      <c r="E201" s="125"/>
      <c r="F201" s="125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6"/>
    </row>
    <row r="202" ht="27.0" customHeight="1">
      <c r="A202" s="125"/>
      <c r="B202" s="125"/>
      <c r="C202" s="125"/>
      <c r="D202" s="125"/>
      <c r="E202" s="125"/>
      <c r="F202" s="125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6"/>
    </row>
    <row r="203" ht="27.0" customHeight="1">
      <c r="A203" s="125"/>
      <c r="B203" s="125"/>
      <c r="C203" s="125"/>
      <c r="D203" s="125"/>
      <c r="E203" s="125"/>
      <c r="F203" s="125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6"/>
    </row>
    <row r="204" ht="27.0" customHeight="1">
      <c r="A204" s="125"/>
      <c r="B204" s="125"/>
      <c r="C204" s="125"/>
      <c r="D204" s="125"/>
      <c r="E204" s="125"/>
      <c r="F204" s="125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6"/>
    </row>
    <row r="205" ht="27.0" customHeight="1">
      <c r="A205" s="125"/>
      <c r="B205" s="125"/>
      <c r="C205" s="125"/>
      <c r="D205" s="125"/>
      <c r="E205" s="125"/>
      <c r="F205" s="125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6"/>
    </row>
    <row r="206" ht="27.0" customHeight="1">
      <c r="A206" s="125"/>
      <c r="B206" s="125"/>
      <c r="C206" s="125"/>
      <c r="D206" s="125"/>
      <c r="E206" s="125"/>
      <c r="F206" s="125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6"/>
    </row>
    <row r="207" ht="27.0" customHeight="1">
      <c r="A207" s="125"/>
      <c r="B207" s="125"/>
      <c r="C207" s="125"/>
      <c r="D207" s="125"/>
      <c r="E207" s="125"/>
      <c r="F207" s="125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6"/>
    </row>
    <row r="208" ht="27.0" customHeight="1">
      <c r="A208" s="125"/>
      <c r="B208" s="125"/>
      <c r="C208" s="125"/>
      <c r="D208" s="125"/>
      <c r="E208" s="125"/>
      <c r="F208" s="125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6"/>
    </row>
    <row r="209" ht="27.0" customHeight="1">
      <c r="A209" s="125"/>
      <c r="B209" s="125"/>
      <c r="C209" s="125"/>
      <c r="D209" s="125"/>
      <c r="E209" s="125"/>
      <c r="F209" s="125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6"/>
    </row>
    <row r="210" ht="27.0" customHeight="1">
      <c r="A210" s="125"/>
      <c r="B210" s="125"/>
      <c r="C210" s="125"/>
      <c r="D210" s="125"/>
      <c r="E210" s="125"/>
      <c r="F210" s="125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6"/>
    </row>
    <row r="211" ht="27.0" customHeight="1">
      <c r="A211" s="125"/>
      <c r="B211" s="125"/>
      <c r="C211" s="125"/>
      <c r="D211" s="125"/>
      <c r="E211" s="125"/>
      <c r="F211" s="125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6"/>
    </row>
    <row r="212" ht="27.0" customHeight="1">
      <c r="A212" s="125"/>
      <c r="B212" s="125"/>
      <c r="C212" s="125"/>
      <c r="D212" s="125"/>
      <c r="E212" s="125"/>
      <c r="F212" s="125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6"/>
    </row>
    <row r="213" ht="27.0" customHeight="1">
      <c r="A213" s="125"/>
      <c r="B213" s="125"/>
      <c r="C213" s="125"/>
      <c r="D213" s="125"/>
      <c r="E213" s="125"/>
      <c r="F213" s="125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6"/>
    </row>
    <row r="214" ht="27.0" customHeight="1">
      <c r="A214" s="125"/>
      <c r="B214" s="125"/>
      <c r="C214" s="125"/>
      <c r="D214" s="125"/>
      <c r="E214" s="125"/>
      <c r="F214" s="125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6"/>
    </row>
    <row r="215" ht="27.0" customHeight="1">
      <c r="A215" s="125"/>
      <c r="B215" s="125"/>
      <c r="C215" s="125"/>
      <c r="D215" s="125"/>
      <c r="E215" s="125"/>
      <c r="F215" s="125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6"/>
    </row>
    <row r="216" ht="27.0" customHeight="1">
      <c r="A216" s="125"/>
      <c r="B216" s="125"/>
      <c r="C216" s="125"/>
      <c r="D216" s="125"/>
      <c r="E216" s="125"/>
      <c r="F216" s="125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6"/>
    </row>
    <row r="217" ht="27.0" customHeight="1">
      <c r="A217" s="125"/>
      <c r="B217" s="125"/>
      <c r="C217" s="125"/>
      <c r="D217" s="125"/>
      <c r="E217" s="125"/>
      <c r="F217" s="125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6"/>
    </row>
    <row r="218" ht="27.0" customHeight="1">
      <c r="A218" s="125"/>
      <c r="B218" s="125"/>
      <c r="C218" s="125"/>
      <c r="D218" s="125"/>
      <c r="E218" s="125"/>
      <c r="F218" s="125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6"/>
    </row>
    <row r="219" ht="27.0" customHeight="1">
      <c r="A219" s="125"/>
      <c r="B219" s="125"/>
      <c r="C219" s="125"/>
      <c r="D219" s="125"/>
      <c r="E219" s="125"/>
      <c r="F219" s="125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6"/>
    </row>
    <row r="220" ht="27.0" customHeight="1">
      <c r="A220" s="125"/>
      <c r="B220" s="125"/>
      <c r="C220" s="125"/>
      <c r="D220" s="125"/>
      <c r="E220" s="125"/>
      <c r="F220" s="125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6"/>
    </row>
    <row r="221" ht="27.0" customHeight="1">
      <c r="A221" s="125"/>
      <c r="B221" s="125"/>
      <c r="C221" s="125"/>
      <c r="D221" s="125"/>
      <c r="E221" s="125"/>
      <c r="F221" s="125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6"/>
    </row>
    <row r="222" ht="27.0" customHeight="1">
      <c r="A222" s="125"/>
      <c r="B222" s="125"/>
      <c r="C222" s="125"/>
      <c r="D222" s="125"/>
      <c r="E222" s="125"/>
      <c r="F222" s="125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6"/>
    </row>
    <row r="223" ht="27.0" customHeight="1">
      <c r="A223" s="125"/>
      <c r="B223" s="125"/>
      <c r="C223" s="125"/>
      <c r="D223" s="125"/>
      <c r="E223" s="125"/>
      <c r="F223" s="125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6"/>
    </row>
    <row r="224" ht="27.0" customHeight="1">
      <c r="A224" s="125"/>
      <c r="B224" s="125"/>
      <c r="C224" s="125"/>
      <c r="D224" s="125"/>
      <c r="E224" s="125"/>
      <c r="F224" s="125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6"/>
    </row>
    <row r="225" ht="15.75" customHeight="1">
      <c r="A225" s="13"/>
      <c r="B225" s="13"/>
      <c r="C225" s="13"/>
      <c r="D225" s="13"/>
      <c r="E225" s="13"/>
      <c r="F225" s="13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3"/>
      <c r="B226" s="13"/>
      <c r="C226" s="13"/>
      <c r="D226" s="13"/>
      <c r="E226" s="13"/>
      <c r="F226" s="13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3"/>
      <c r="B227" s="13"/>
      <c r="C227" s="13"/>
      <c r="D227" s="13"/>
      <c r="E227" s="13"/>
      <c r="F227" s="13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3"/>
      <c r="B228" s="13"/>
      <c r="C228" s="13"/>
      <c r="D228" s="13"/>
      <c r="E228" s="13"/>
      <c r="F228" s="13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3"/>
      <c r="B229" s="13"/>
      <c r="C229" s="13"/>
      <c r="D229" s="13"/>
      <c r="E229" s="13"/>
      <c r="F229" s="13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3"/>
      <c r="B230" s="13"/>
      <c r="C230" s="13"/>
      <c r="D230" s="13"/>
      <c r="E230" s="13"/>
      <c r="F230" s="13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3"/>
      <c r="B231" s="13"/>
      <c r="C231" s="13"/>
      <c r="D231" s="13"/>
      <c r="E231" s="13"/>
      <c r="F231" s="13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3"/>
      <c r="B232" s="13"/>
      <c r="C232" s="13"/>
      <c r="D232" s="13"/>
      <c r="E232" s="13"/>
      <c r="F232" s="13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3"/>
      <c r="B233" s="13"/>
      <c r="C233" s="13"/>
      <c r="D233" s="13"/>
      <c r="E233" s="13"/>
      <c r="F233" s="13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3"/>
      <c r="B234" s="13"/>
      <c r="C234" s="13"/>
      <c r="D234" s="13"/>
      <c r="E234" s="13"/>
      <c r="F234" s="13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3"/>
      <c r="B235" s="13"/>
      <c r="C235" s="13"/>
      <c r="D235" s="13"/>
      <c r="E235" s="13"/>
      <c r="F235" s="13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3"/>
      <c r="B236" s="13"/>
      <c r="C236" s="13"/>
      <c r="D236" s="13"/>
      <c r="E236" s="13"/>
      <c r="F236" s="13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13"/>
      <c r="B237" s="13"/>
      <c r="C237" s="13"/>
      <c r="D237" s="13"/>
      <c r="E237" s="13"/>
      <c r="F237" s="13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3"/>
      <c r="B238" s="13"/>
      <c r="C238" s="13"/>
      <c r="D238" s="13"/>
      <c r="E238" s="13"/>
      <c r="F238" s="13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3"/>
      <c r="B239" s="13"/>
      <c r="C239" s="13"/>
      <c r="D239" s="13"/>
      <c r="E239" s="13"/>
      <c r="F239" s="13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3"/>
      <c r="B240" s="13"/>
      <c r="C240" s="13"/>
      <c r="D240" s="13"/>
      <c r="E240" s="13"/>
      <c r="F240" s="13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3"/>
      <c r="B241" s="13"/>
      <c r="C241" s="13"/>
      <c r="D241" s="13"/>
      <c r="E241" s="13"/>
      <c r="F241" s="13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3"/>
      <c r="B242" s="13"/>
      <c r="C242" s="13"/>
      <c r="D242" s="13"/>
      <c r="E242" s="13"/>
      <c r="F242" s="13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3"/>
      <c r="B243" s="13"/>
      <c r="C243" s="13"/>
      <c r="D243" s="13"/>
      <c r="E243" s="13"/>
      <c r="F243" s="13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13"/>
      <c r="B244" s="13"/>
      <c r="C244" s="13"/>
      <c r="D244" s="13"/>
      <c r="E244" s="13"/>
      <c r="F244" s="13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13"/>
      <c r="B245" s="13"/>
      <c r="C245" s="13"/>
      <c r="D245" s="13"/>
      <c r="E245" s="13"/>
      <c r="F245" s="13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3"/>
      <c r="B246" s="13"/>
      <c r="C246" s="13"/>
      <c r="D246" s="13"/>
      <c r="E246" s="13"/>
      <c r="F246" s="13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3"/>
      <c r="B247" s="13"/>
      <c r="C247" s="13"/>
      <c r="D247" s="13"/>
      <c r="E247" s="13"/>
      <c r="F247" s="13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3"/>
      <c r="B248" s="13"/>
      <c r="C248" s="13"/>
      <c r="D248" s="13"/>
      <c r="E248" s="13"/>
      <c r="F248" s="13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3"/>
      <c r="B249" s="13"/>
      <c r="C249" s="13"/>
      <c r="D249" s="13"/>
      <c r="E249" s="13"/>
      <c r="F249" s="13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3"/>
      <c r="B250" s="13"/>
      <c r="C250" s="13"/>
      <c r="D250" s="13"/>
      <c r="E250" s="13"/>
      <c r="F250" s="13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3"/>
      <c r="B251" s="13"/>
      <c r="C251" s="13"/>
      <c r="D251" s="13"/>
      <c r="E251" s="13"/>
      <c r="F251" s="13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13"/>
      <c r="B252" s="13"/>
      <c r="C252" s="13"/>
      <c r="D252" s="13"/>
      <c r="E252" s="13"/>
      <c r="F252" s="13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13"/>
      <c r="B253" s="13"/>
      <c r="C253" s="13"/>
      <c r="D253" s="13"/>
      <c r="E253" s="13"/>
      <c r="F253" s="13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13"/>
      <c r="B254" s="13"/>
      <c r="C254" s="13"/>
      <c r="D254" s="13"/>
      <c r="E254" s="13"/>
      <c r="F254" s="13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13"/>
      <c r="B255" s="13"/>
      <c r="C255" s="13"/>
      <c r="D255" s="13"/>
      <c r="E255" s="13"/>
      <c r="F255" s="13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13"/>
      <c r="B256" s="13"/>
      <c r="C256" s="13"/>
      <c r="D256" s="13"/>
      <c r="E256" s="13"/>
      <c r="F256" s="13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13"/>
      <c r="B257" s="13"/>
      <c r="C257" s="13"/>
      <c r="D257" s="13"/>
      <c r="E257" s="13"/>
      <c r="F257" s="13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13"/>
      <c r="B258" s="13"/>
      <c r="C258" s="13"/>
      <c r="D258" s="13"/>
      <c r="E258" s="13"/>
      <c r="F258" s="13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13"/>
      <c r="B259" s="13"/>
      <c r="C259" s="13"/>
      <c r="D259" s="13"/>
      <c r="E259" s="13"/>
      <c r="F259" s="13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13"/>
      <c r="B260" s="13"/>
      <c r="C260" s="13"/>
      <c r="D260" s="13"/>
      <c r="E260" s="13"/>
      <c r="F260" s="13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13"/>
      <c r="B261" s="13"/>
      <c r="C261" s="13"/>
      <c r="D261" s="13"/>
      <c r="E261" s="13"/>
      <c r="F261" s="13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13"/>
      <c r="B262" s="13"/>
      <c r="C262" s="13"/>
      <c r="D262" s="13"/>
      <c r="E262" s="13"/>
      <c r="F262" s="13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13"/>
      <c r="B263" s="13"/>
      <c r="C263" s="13"/>
      <c r="D263" s="13"/>
      <c r="E263" s="13"/>
      <c r="F263" s="13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3"/>
      <c r="B264" s="13"/>
      <c r="C264" s="13"/>
      <c r="D264" s="13"/>
      <c r="E264" s="13"/>
      <c r="F264" s="13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13"/>
      <c r="B265" s="13"/>
      <c r="C265" s="13"/>
      <c r="D265" s="13"/>
      <c r="E265" s="13"/>
      <c r="F265" s="13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13"/>
      <c r="B266" s="13"/>
      <c r="C266" s="13"/>
      <c r="D266" s="13"/>
      <c r="E266" s="13"/>
      <c r="F266" s="13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13"/>
      <c r="B267" s="13"/>
      <c r="C267" s="13"/>
      <c r="D267" s="13"/>
      <c r="E267" s="13"/>
      <c r="F267" s="13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13"/>
      <c r="B268" s="13"/>
      <c r="C268" s="13"/>
      <c r="D268" s="13"/>
      <c r="E268" s="13"/>
      <c r="F268" s="13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13"/>
      <c r="B269" s="13"/>
      <c r="C269" s="13"/>
      <c r="D269" s="13"/>
      <c r="E269" s="13"/>
      <c r="F269" s="13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13"/>
      <c r="B270" s="13"/>
      <c r="C270" s="13"/>
      <c r="D270" s="13"/>
      <c r="E270" s="13"/>
      <c r="F270" s="13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3"/>
      <c r="B271" s="13"/>
      <c r="C271" s="13"/>
      <c r="D271" s="13"/>
      <c r="E271" s="13"/>
      <c r="F271" s="13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13"/>
      <c r="B272" s="13"/>
      <c r="C272" s="13"/>
      <c r="D272" s="13"/>
      <c r="E272" s="13"/>
      <c r="F272" s="13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13"/>
      <c r="B273" s="13"/>
      <c r="C273" s="13"/>
      <c r="D273" s="13"/>
      <c r="E273" s="13"/>
      <c r="F273" s="13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13"/>
      <c r="B274" s="13"/>
      <c r="C274" s="13"/>
      <c r="D274" s="13"/>
      <c r="E274" s="13"/>
      <c r="F274" s="13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13"/>
      <c r="B275" s="13"/>
      <c r="C275" s="13"/>
      <c r="D275" s="13"/>
      <c r="E275" s="13"/>
      <c r="F275" s="13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13"/>
      <c r="B276" s="13"/>
      <c r="C276" s="13"/>
      <c r="D276" s="13"/>
      <c r="E276" s="13"/>
      <c r="F276" s="13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13"/>
      <c r="B277" s="13"/>
      <c r="C277" s="13"/>
      <c r="D277" s="13"/>
      <c r="E277" s="13"/>
      <c r="F277" s="13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13"/>
      <c r="B278" s="13"/>
      <c r="C278" s="13"/>
      <c r="D278" s="13"/>
      <c r="E278" s="13"/>
      <c r="F278" s="13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13"/>
      <c r="B279" s="13"/>
      <c r="C279" s="13"/>
      <c r="D279" s="13"/>
      <c r="E279" s="13"/>
      <c r="F279" s="13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13"/>
      <c r="B280" s="13"/>
      <c r="C280" s="13"/>
      <c r="D280" s="13"/>
      <c r="E280" s="13"/>
      <c r="F280" s="13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13"/>
      <c r="B281" s="13"/>
      <c r="C281" s="13"/>
      <c r="D281" s="13"/>
      <c r="E281" s="13"/>
      <c r="F281" s="13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13"/>
      <c r="B282" s="13"/>
      <c r="C282" s="13"/>
      <c r="D282" s="13"/>
      <c r="E282" s="13"/>
      <c r="F282" s="13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13"/>
      <c r="B283" s="13"/>
      <c r="C283" s="13"/>
      <c r="D283" s="13"/>
      <c r="E283" s="13"/>
      <c r="F283" s="13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13"/>
      <c r="B284" s="13"/>
      <c r="C284" s="13"/>
      <c r="D284" s="13"/>
      <c r="E284" s="13"/>
      <c r="F284" s="13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13"/>
      <c r="B285" s="13"/>
      <c r="C285" s="13"/>
      <c r="D285" s="13"/>
      <c r="E285" s="13"/>
      <c r="F285" s="13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13"/>
      <c r="B286" s="13"/>
      <c r="C286" s="13"/>
      <c r="D286" s="13"/>
      <c r="E286" s="13"/>
      <c r="F286" s="13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13"/>
      <c r="B287" s="13"/>
      <c r="C287" s="13"/>
      <c r="D287" s="13"/>
      <c r="E287" s="13"/>
      <c r="F287" s="13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13"/>
      <c r="B288" s="13"/>
      <c r="C288" s="13"/>
      <c r="D288" s="13"/>
      <c r="E288" s="13"/>
      <c r="F288" s="13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13"/>
      <c r="B289" s="13"/>
      <c r="C289" s="13"/>
      <c r="D289" s="13"/>
      <c r="E289" s="13"/>
      <c r="F289" s="13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13"/>
      <c r="B290" s="13"/>
      <c r="C290" s="13"/>
      <c r="D290" s="13"/>
      <c r="E290" s="13"/>
      <c r="F290" s="13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13"/>
      <c r="B291" s="13"/>
      <c r="C291" s="13"/>
      <c r="D291" s="13"/>
      <c r="E291" s="13"/>
      <c r="F291" s="13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13"/>
      <c r="B292" s="13"/>
      <c r="C292" s="13"/>
      <c r="D292" s="13"/>
      <c r="E292" s="13"/>
      <c r="F292" s="13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13"/>
      <c r="B293" s="13"/>
      <c r="C293" s="13"/>
      <c r="D293" s="13"/>
      <c r="E293" s="13"/>
      <c r="F293" s="13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13"/>
      <c r="B294" s="13"/>
      <c r="C294" s="13"/>
      <c r="D294" s="13"/>
      <c r="E294" s="13"/>
      <c r="F294" s="13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13"/>
      <c r="B295" s="13"/>
      <c r="C295" s="13"/>
      <c r="D295" s="13"/>
      <c r="E295" s="13"/>
      <c r="F295" s="13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13"/>
      <c r="B296" s="13"/>
      <c r="C296" s="13"/>
      <c r="D296" s="13"/>
      <c r="E296" s="13"/>
      <c r="F296" s="13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13"/>
      <c r="B297" s="13"/>
      <c r="C297" s="13"/>
      <c r="D297" s="13"/>
      <c r="E297" s="13"/>
      <c r="F297" s="13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13"/>
      <c r="B298" s="13"/>
      <c r="C298" s="13"/>
      <c r="D298" s="13"/>
      <c r="E298" s="13"/>
      <c r="F298" s="13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13"/>
      <c r="B299" s="13"/>
      <c r="C299" s="13"/>
      <c r="D299" s="13"/>
      <c r="E299" s="13"/>
      <c r="F299" s="13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13"/>
      <c r="B300" s="13"/>
      <c r="C300" s="13"/>
      <c r="D300" s="13"/>
      <c r="E300" s="13"/>
      <c r="F300" s="13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13"/>
      <c r="B301" s="13"/>
      <c r="C301" s="13"/>
      <c r="D301" s="13"/>
      <c r="E301" s="13"/>
      <c r="F301" s="13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13"/>
      <c r="B302" s="13"/>
      <c r="C302" s="13"/>
      <c r="D302" s="13"/>
      <c r="E302" s="13"/>
      <c r="F302" s="13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13"/>
      <c r="B303" s="13"/>
      <c r="C303" s="13"/>
      <c r="D303" s="13"/>
      <c r="E303" s="13"/>
      <c r="F303" s="13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13"/>
      <c r="B304" s="13"/>
      <c r="C304" s="13"/>
      <c r="D304" s="13"/>
      <c r="E304" s="13"/>
      <c r="F304" s="13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13"/>
      <c r="B305" s="13"/>
      <c r="C305" s="13"/>
      <c r="D305" s="13"/>
      <c r="E305" s="13"/>
      <c r="F305" s="13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13"/>
      <c r="B306" s="13"/>
      <c r="C306" s="13"/>
      <c r="D306" s="13"/>
      <c r="E306" s="13"/>
      <c r="F306" s="13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13"/>
      <c r="B307" s="13"/>
      <c r="C307" s="13"/>
      <c r="D307" s="13"/>
      <c r="E307" s="13"/>
      <c r="F307" s="13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13"/>
      <c r="B308" s="13"/>
      <c r="C308" s="13"/>
      <c r="D308" s="13"/>
      <c r="E308" s="13"/>
      <c r="F308" s="13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13"/>
      <c r="B309" s="13"/>
      <c r="C309" s="13"/>
      <c r="D309" s="13"/>
      <c r="E309" s="13"/>
      <c r="F309" s="13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13"/>
      <c r="B310" s="13"/>
      <c r="C310" s="13"/>
      <c r="D310" s="13"/>
      <c r="E310" s="13"/>
      <c r="F310" s="13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13"/>
      <c r="B311" s="13"/>
      <c r="C311" s="13"/>
      <c r="D311" s="13"/>
      <c r="E311" s="13"/>
      <c r="F311" s="13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13"/>
      <c r="B312" s="13"/>
      <c r="C312" s="13"/>
      <c r="D312" s="13"/>
      <c r="E312" s="13"/>
      <c r="F312" s="13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13"/>
      <c r="B313" s="13"/>
      <c r="C313" s="13"/>
      <c r="D313" s="13"/>
      <c r="E313" s="13"/>
      <c r="F313" s="13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13"/>
      <c r="B314" s="13"/>
      <c r="C314" s="13"/>
      <c r="D314" s="13"/>
      <c r="E314" s="13"/>
      <c r="F314" s="13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13"/>
      <c r="B315" s="13"/>
      <c r="C315" s="13"/>
      <c r="D315" s="13"/>
      <c r="E315" s="13"/>
      <c r="F315" s="13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13"/>
      <c r="B316" s="13"/>
      <c r="C316" s="13"/>
      <c r="D316" s="13"/>
      <c r="E316" s="13"/>
      <c r="F316" s="13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13"/>
      <c r="B317" s="13"/>
      <c r="C317" s="13"/>
      <c r="D317" s="13"/>
      <c r="E317" s="13"/>
      <c r="F317" s="13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13"/>
      <c r="B318" s="13"/>
      <c r="C318" s="13"/>
      <c r="D318" s="13"/>
      <c r="E318" s="13"/>
      <c r="F318" s="13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13"/>
      <c r="B319" s="13"/>
      <c r="C319" s="13"/>
      <c r="D319" s="13"/>
      <c r="E319" s="13"/>
      <c r="F319" s="13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13"/>
      <c r="B320" s="13"/>
      <c r="C320" s="13"/>
      <c r="D320" s="13"/>
      <c r="E320" s="13"/>
      <c r="F320" s="13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13"/>
      <c r="B321" s="13"/>
      <c r="C321" s="13"/>
      <c r="D321" s="13"/>
      <c r="E321" s="13"/>
      <c r="F321" s="13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13"/>
      <c r="B322" s="13"/>
      <c r="C322" s="13"/>
      <c r="D322" s="13"/>
      <c r="E322" s="13"/>
      <c r="F322" s="13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13"/>
      <c r="B323" s="13"/>
      <c r="C323" s="13"/>
      <c r="D323" s="13"/>
      <c r="E323" s="13"/>
      <c r="F323" s="13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13"/>
      <c r="B324" s="13"/>
      <c r="C324" s="13"/>
      <c r="D324" s="13"/>
      <c r="E324" s="13"/>
      <c r="F324" s="13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13"/>
      <c r="B325" s="13"/>
      <c r="C325" s="13"/>
      <c r="D325" s="13"/>
      <c r="E325" s="13"/>
      <c r="F325" s="13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13"/>
      <c r="B326" s="13"/>
      <c r="C326" s="13"/>
      <c r="D326" s="13"/>
      <c r="E326" s="13"/>
      <c r="F326" s="13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13"/>
      <c r="B327" s="13"/>
      <c r="C327" s="13"/>
      <c r="D327" s="13"/>
      <c r="E327" s="13"/>
      <c r="F327" s="13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13"/>
      <c r="B328" s="13"/>
      <c r="C328" s="13"/>
      <c r="D328" s="13"/>
      <c r="E328" s="13"/>
      <c r="F328" s="13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13"/>
      <c r="B329" s="13"/>
      <c r="C329" s="13"/>
      <c r="D329" s="13"/>
      <c r="E329" s="13"/>
      <c r="F329" s="13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13"/>
      <c r="B330" s="13"/>
      <c r="C330" s="13"/>
      <c r="D330" s="13"/>
      <c r="E330" s="13"/>
      <c r="F330" s="13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13"/>
      <c r="B331" s="13"/>
      <c r="C331" s="13"/>
      <c r="D331" s="13"/>
      <c r="E331" s="13"/>
      <c r="F331" s="13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13"/>
      <c r="B332" s="13"/>
      <c r="C332" s="13"/>
      <c r="D332" s="13"/>
      <c r="E332" s="13"/>
      <c r="F332" s="13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13"/>
      <c r="B333" s="13"/>
      <c r="C333" s="13"/>
      <c r="D333" s="13"/>
      <c r="E333" s="13"/>
      <c r="F333" s="13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13"/>
      <c r="B334" s="13"/>
      <c r="C334" s="13"/>
      <c r="D334" s="13"/>
      <c r="E334" s="13"/>
      <c r="F334" s="13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13"/>
      <c r="B335" s="13"/>
      <c r="C335" s="13"/>
      <c r="D335" s="13"/>
      <c r="E335" s="13"/>
      <c r="F335" s="13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13"/>
      <c r="B336" s="13"/>
      <c r="C336" s="13"/>
      <c r="D336" s="13"/>
      <c r="E336" s="13"/>
      <c r="F336" s="13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13"/>
      <c r="B337" s="13"/>
      <c r="C337" s="13"/>
      <c r="D337" s="13"/>
      <c r="E337" s="13"/>
      <c r="F337" s="13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13"/>
      <c r="B338" s="13"/>
      <c r="C338" s="13"/>
      <c r="D338" s="13"/>
      <c r="E338" s="13"/>
      <c r="F338" s="13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13"/>
      <c r="B339" s="13"/>
      <c r="C339" s="13"/>
      <c r="D339" s="13"/>
      <c r="E339" s="13"/>
      <c r="F339" s="13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13"/>
      <c r="B340" s="13"/>
      <c r="C340" s="13"/>
      <c r="D340" s="13"/>
      <c r="E340" s="13"/>
      <c r="F340" s="13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13"/>
      <c r="B341" s="13"/>
      <c r="C341" s="13"/>
      <c r="D341" s="13"/>
      <c r="E341" s="13"/>
      <c r="F341" s="13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13"/>
      <c r="B342" s="13"/>
      <c r="C342" s="13"/>
      <c r="D342" s="13"/>
      <c r="E342" s="13"/>
      <c r="F342" s="13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13"/>
      <c r="B343" s="13"/>
      <c r="C343" s="13"/>
      <c r="D343" s="13"/>
      <c r="E343" s="13"/>
      <c r="F343" s="13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13"/>
      <c r="B344" s="13"/>
      <c r="C344" s="13"/>
      <c r="D344" s="13"/>
      <c r="E344" s="13"/>
      <c r="F344" s="13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13"/>
      <c r="B345" s="13"/>
      <c r="C345" s="13"/>
      <c r="D345" s="13"/>
      <c r="E345" s="13"/>
      <c r="F345" s="13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13"/>
      <c r="B346" s="13"/>
      <c r="C346" s="13"/>
      <c r="D346" s="13"/>
      <c r="E346" s="13"/>
      <c r="F346" s="13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13"/>
      <c r="B347" s="13"/>
      <c r="C347" s="13"/>
      <c r="D347" s="13"/>
      <c r="E347" s="13"/>
      <c r="F347" s="13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13"/>
      <c r="B348" s="13"/>
      <c r="C348" s="13"/>
      <c r="D348" s="13"/>
      <c r="E348" s="13"/>
      <c r="F348" s="13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13"/>
      <c r="B349" s="13"/>
      <c r="C349" s="13"/>
      <c r="D349" s="13"/>
      <c r="E349" s="13"/>
      <c r="F349" s="13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13"/>
      <c r="B350" s="13"/>
      <c r="C350" s="13"/>
      <c r="D350" s="13"/>
      <c r="E350" s="13"/>
      <c r="F350" s="13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13"/>
      <c r="B351" s="13"/>
      <c r="C351" s="13"/>
      <c r="D351" s="13"/>
      <c r="E351" s="13"/>
      <c r="F351" s="13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13"/>
      <c r="B352" s="13"/>
      <c r="C352" s="13"/>
      <c r="D352" s="13"/>
      <c r="E352" s="13"/>
      <c r="F352" s="13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13"/>
      <c r="B353" s="13"/>
      <c r="C353" s="13"/>
      <c r="D353" s="13"/>
      <c r="E353" s="13"/>
      <c r="F353" s="13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13"/>
      <c r="B354" s="13"/>
      <c r="C354" s="13"/>
      <c r="D354" s="13"/>
      <c r="E354" s="13"/>
      <c r="F354" s="13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13"/>
      <c r="B355" s="13"/>
      <c r="C355" s="13"/>
      <c r="D355" s="13"/>
      <c r="E355" s="13"/>
      <c r="F355" s="13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13"/>
      <c r="B356" s="13"/>
      <c r="C356" s="13"/>
      <c r="D356" s="13"/>
      <c r="E356" s="13"/>
      <c r="F356" s="13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13"/>
      <c r="B357" s="13"/>
      <c r="C357" s="13"/>
      <c r="D357" s="13"/>
      <c r="E357" s="13"/>
      <c r="F357" s="13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13"/>
      <c r="B358" s="13"/>
      <c r="C358" s="13"/>
      <c r="D358" s="13"/>
      <c r="E358" s="13"/>
      <c r="F358" s="13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13"/>
      <c r="B359" s="13"/>
      <c r="C359" s="13"/>
      <c r="D359" s="13"/>
      <c r="E359" s="13"/>
      <c r="F359" s="13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13"/>
      <c r="B360" s="13"/>
      <c r="C360" s="13"/>
      <c r="D360" s="13"/>
      <c r="E360" s="13"/>
      <c r="F360" s="13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13"/>
      <c r="B361" s="13"/>
      <c r="C361" s="13"/>
      <c r="D361" s="13"/>
      <c r="E361" s="13"/>
      <c r="F361" s="13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13"/>
      <c r="B362" s="13"/>
      <c r="C362" s="13"/>
      <c r="D362" s="13"/>
      <c r="E362" s="13"/>
      <c r="F362" s="13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13"/>
      <c r="B363" s="13"/>
      <c r="C363" s="13"/>
      <c r="D363" s="13"/>
      <c r="E363" s="13"/>
      <c r="F363" s="13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13"/>
      <c r="B364" s="13"/>
      <c r="C364" s="13"/>
      <c r="D364" s="13"/>
      <c r="E364" s="13"/>
      <c r="F364" s="13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13"/>
      <c r="B365" s="13"/>
      <c r="C365" s="13"/>
      <c r="D365" s="13"/>
      <c r="E365" s="13"/>
      <c r="F365" s="13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13"/>
      <c r="B366" s="13"/>
      <c r="C366" s="13"/>
      <c r="D366" s="13"/>
      <c r="E366" s="13"/>
      <c r="F366" s="13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13"/>
      <c r="B367" s="13"/>
      <c r="C367" s="13"/>
      <c r="D367" s="13"/>
      <c r="E367" s="13"/>
      <c r="F367" s="13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13"/>
      <c r="B368" s="13"/>
      <c r="C368" s="13"/>
      <c r="D368" s="13"/>
      <c r="E368" s="13"/>
      <c r="F368" s="13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13"/>
      <c r="B369" s="13"/>
      <c r="C369" s="13"/>
      <c r="D369" s="13"/>
      <c r="E369" s="13"/>
      <c r="F369" s="13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13"/>
      <c r="B370" s="13"/>
      <c r="C370" s="13"/>
      <c r="D370" s="13"/>
      <c r="E370" s="13"/>
      <c r="F370" s="13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13"/>
      <c r="B371" s="13"/>
      <c r="C371" s="13"/>
      <c r="D371" s="13"/>
      <c r="E371" s="13"/>
      <c r="F371" s="13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13"/>
      <c r="B372" s="13"/>
      <c r="C372" s="13"/>
      <c r="D372" s="13"/>
      <c r="E372" s="13"/>
      <c r="F372" s="13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13"/>
      <c r="B373" s="13"/>
      <c r="C373" s="13"/>
      <c r="D373" s="13"/>
      <c r="E373" s="13"/>
      <c r="F373" s="13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13"/>
      <c r="B374" s="13"/>
      <c r="C374" s="13"/>
      <c r="D374" s="13"/>
      <c r="E374" s="13"/>
      <c r="F374" s="13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13"/>
      <c r="B375" s="13"/>
      <c r="C375" s="13"/>
      <c r="D375" s="13"/>
      <c r="E375" s="13"/>
      <c r="F375" s="13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13"/>
      <c r="B376" s="13"/>
      <c r="C376" s="13"/>
      <c r="D376" s="13"/>
      <c r="E376" s="13"/>
      <c r="F376" s="13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13"/>
      <c r="B377" s="13"/>
      <c r="C377" s="13"/>
      <c r="D377" s="13"/>
      <c r="E377" s="13"/>
      <c r="F377" s="13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13"/>
      <c r="B378" s="13"/>
      <c r="C378" s="13"/>
      <c r="D378" s="13"/>
      <c r="E378" s="13"/>
      <c r="F378" s="13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13"/>
      <c r="B379" s="13"/>
      <c r="C379" s="13"/>
      <c r="D379" s="13"/>
      <c r="E379" s="13"/>
      <c r="F379" s="13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13"/>
      <c r="B380" s="13"/>
      <c r="C380" s="13"/>
      <c r="D380" s="13"/>
      <c r="E380" s="13"/>
      <c r="F380" s="13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13"/>
      <c r="B381" s="13"/>
      <c r="C381" s="13"/>
      <c r="D381" s="13"/>
      <c r="E381" s="13"/>
      <c r="F381" s="13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13"/>
      <c r="B382" s="13"/>
      <c r="C382" s="13"/>
      <c r="D382" s="13"/>
      <c r="E382" s="13"/>
      <c r="F382" s="13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13"/>
      <c r="B383" s="13"/>
      <c r="C383" s="13"/>
      <c r="D383" s="13"/>
      <c r="E383" s="13"/>
      <c r="F383" s="13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13"/>
      <c r="B384" s="13"/>
      <c r="C384" s="13"/>
      <c r="D384" s="13"/>
      <c r="E384" s="13"/>
      <c r="F384" s="13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13"/>
      <c r="B385" s="13"/>
      <c r="C385" s="13"/>
      <c r="D385" s="13"/>
      <c r="E385" s="13"/>
      <c r="F385" s="13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13"/>
      <c r="B386" s="13"/>
      <c r="C386" s="13"/>
      <c r="D386" s="13"/>
      <c r="E386" s="13"/>
      <c r="F386" s="13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13"/>
      <c r="B387" s="13"/>
      <c r="C387" s="13"/>
      <c r="D387" s="13"/>
      <c r="E387" s="13"/>
      <c r="F387" s="13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13"/>
      <c r="B388" s="13"/>
      <c r="C388" s="13"/>
      <c r="D388" s="13"/>
      <c r="E388" s="13"/>
      <c r="F388" s="13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13"/>
      <c r="B389" s="13"/>
      <c r="C389" s="13"/>
      <c r="D389" s="13"/>
      <c r="E389" s="13"/>
      <c r="F389" s="13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13"/>
      <c r="B390" s="13"/>
      <c r="C390" s="13"/>
      <c r="D390" s="13"/>
      <c r="E390" s="13"/>
      <c r="F390" s="13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13"/>
      <c r="B391" s="13"/>
      <c r="C391" s="13"/>
      <c r="D391" s="13"/>
      <c r="E391" s="13"/>
      <c r="F391" s="13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13"/>
      <c r="B392" s="13"/>
      <c r="C392" s="13"/>
      <c r="D392" s="13"/>
      <c r="E392" s="13"/>
      <c r="F392" s="13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13"/>
      <c r="B393" s="13"/>
      <c r="C393" s="13"/>
      <c r="D393" s="13"/>
      <c r="E393" s="13"/>
      <c r="F393" s="13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13"/>
      <c r="B394" s="13"/>
      <c r="C394" s="13"/>
      <c r="D394" s="13"/>
      <c r="E394" s="13"/>
      <c r="F394" s="13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13"/>
      <c r="B395" s="13"/>
      <c r="C395" s="13"/>
      <c r="D395" s="13"/>
      <c r="E395" s="13"/>
      <c r="F395" s="13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13"/>
      <c r="B396" s="13"/>
      <c r="C396" s="13"/>
      <c r="D396" s="13"/>
      <c r="E396" s="13"/>
      <c r="F396" s="13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13"/>
      <c r="B397" s="13"/>
      <c r="C397" s="13"/>
      <c r="D397" s="13"/>
      <c r="E397" s="13"/>
      <c r="F397" s="13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13"/>
      <c r="B398" s="13"/>
      <c r="C398" s="13"/>
      <c r="D398" s="13"/>
      <c r="E398" s="13"/>
      <c r="F398" s="13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13"/>
      <c r="B399" s="13"/>
      <c r="C399" s="13"/>
      <c r="D399" s="13"/>
      <c r="E399" s="13"/>
      <c r="F399" s="13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13"/>
      <c r="B400" s="13"/>
      <c r="C400" s="13"/>
      <c r="D400" s="13"/>
      <c r="E400" s="13"/>
      <c r="F400" s="13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13"/>
      <c r="B401" s="13"/>
      <c r="C401" s="13"/>
      <c r="D401" s="13"/>
      <c r="E401" s="13"/>
      <c r="F401" s="13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13"/>
      <c r="B402" s="13"/>
      <c r="C402" s="13"/>
      <c r="D402" s="13"/>
      <c r="E402" s="13"/>
      <c r="F402" s="13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13"/>
      <c r="B403" s="13"/>
      <c r="C403" s="13"/>
      <c r="D403" s="13"/>
      <c r="E403" s="13"/>
      <c r="F403" s="13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13"/>
      <c r="B404" s="13"/>
      <c r="C404" s="13"/>
      <c r="D404" s="13"/>
      <c r="E404" s="13"/>
      <c r="F404" s="13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13"/>
      <c r="B405" s="13"/>
      <c r="C405" s="13"/>
      <c r="D405" s="13"/>
      <c r="E405" s="13"/>
      <c r="F405" s="13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13"/>
      <c r="B406" s="13"/>
      <c r="C406" s="13"/>
      <c r="D406" s="13"/>
      <c r="E406" s="13"/>
      <c r="F406" s="13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13"/>
      <c r="B407" s="13"/>
      <c r="C407" s="13"/>
      <c r="D407" s="13"/>
      <c r="E407" s="13"/>
      <c r="F407" s="13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13"/>
      <c r="B408" s="13"/>
      <c r="C408" s="13"/>
      <c r="D408" s="13"/>
      <c r="E408" s="13"/>
      <c r="F408" s="13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13"/>
      <c r="B409" s="13"/>
      <c r="C409" s="13"/>
      <c r="D409" s="13"/>
      <c r="E409" s="13"/>
      <c r="F409" s="13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13"/>
      <c r="B410" s="13"/>
      <c r="C410" s="13"/>
      <c r="D410" s="13"/>
      <c r="E410" s="13"/>
      <c r="F410" s="13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13"/>
      <c r="B411" s="13"/>
      <c r="C411" s="13"/>
      <c r="D411" s="13"/>
      <c r="E411" s="13"/>
      <c r="F411" s="13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13"/>
      <c r="B412" s="13"/>
      <c r="C412" s="13"/>
      <c r="D412" s="13"/>
      <c r="E412" s="13"/>
      <c r="F412" s="13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13"/>
      <c r="B413" s="13"/>
      <c r="C413" s="13"/>
      <c r="D413" s="13"/>
      <c r="E413" s="13"/>
      <c r="F413" s="13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13"/>
      <c r="B414" s="13"/>
      <c r="C414" s="13"/>
      <c r="D414" s="13"/>
      <c r="E414" s="13"/>
      <c r="F414" s="13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13"/>
      <c r="B415" s="13"/>
      <c r="C415" s="13"/>
      <c r="D415" s="13"/>
      <c r="E415" s="13"/>
      <c r="F415" s="13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13"/>
      <c r="B416" s="13"/>
      <c r="C416" s="13"/>
      <c r="D416" s="13"/>
      <c r="E416" s="13"/>
      <c r="F416" s="13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13"/>
      <c r="B417" s="13"/>
      <c r="C417" s="13"/>
      <c r="D417" s="13"/>
      <c r="E417" s="13"/>
      <c r="F417" s="13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13"/>
      <c r="B418" s="13"/>
      <c r="C418" s="13"/>
      <c r="D418" s="13"/>
      <c r="E418" s="13"/>
      <c r="F418" s="13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13"/>
      <c r="B419" s="13"/>
      <c r="C419" s="13"/>
      <c r="D419" s="13"/>
      <c r="E419" s="13"/>
      <c r="F419" s="13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13"/>
      <c r="B420" s="13"/>
      <c r="C420" s="13"/>
      <c r="D420" s="13"/>
      <c r="E420" s="13"/>
      <c r="F420" s="13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13"/>
      <c r="B421" s="13"/>
      <c r="C421" s="13"/>
      <c r="D421" s="13"/>
      <c r="E421" s="13"/>
      <c r="F421" s="13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13"/>
      <c r="B422" s="13"/>
      <c r="C422" s="13"/>
      <c r="D422" s="13"/>
      <c r="E422" s="13"/>
      <c r="F422" s="13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13"/>
      <c r="B423" s="13"/>
      <c r="C423" s="13"/>
      <c r="D423" s="13"/>
      <c r="E423" s="13"/>
      <c r="F423" s="13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13"/>
      <c r="B424" s="13"/>
      <c r="C424" s="13"/>
      <c r="D424" s="13"/>
      <c r="E424" s="13"/>
      <c r="F424" s="13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13"/>
      <c r="B425" s="13"/>
      <c r="C425" s="13"/>
      <c r="D425" s="13"/>
      <c r="E425" s="13"/>
      <c r="F425" s="13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13"/>
      <c r="B426" s="13"/>
      <c r="C426" s="13"/>
      <c r="D426" s="13"/>
      <c r="E426" s="13"/>
      <c r="F426" s="13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13"/>
      <c r="B427" s="13"/>
      <c r="C427" s="13"/>
      <c r="D427" s="13"/>
      <c r="E427" s="13"/>
      <c r="F427" s="13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13"/>
      <c r="B428" s="13"/>
      <c r="C428" s="13"/>
      <c r="D428" s="13"/>
      <c r="E428" s="13"/>
      <c r="F428" s="13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13"/>
      <c r="B429" s="13"/>
      <c r="C429" s="13"/>
      <c r="D429" s="13"/>
      <c r="E429" s="13"/>
      <c r="F429" s="13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13"/>
      <c r="B430" s="13"/>
      <c r="C430" s="13"/>
      <c r="D430" s="13"/>
      <c r="E430" s="13"/>
      <c r="F430" s="13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13"/>
      <c r="B431" s="13"/>
      <c r="C431" s="13"/>
      <c r="D431" s="13"/>
      <c r="E431" s="13"/>
      <c r="F431" s="13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13"/>
      <c r="B432" s="13"/>
      <c r="C432" s="13"/>
      <c r="D432" s="13"/>
      <c r="E432" s="13"/>
      <c r="F432" s="13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13"/>
      <c r="B433" s="13"/>
      <c r="C433" s="13"/>
      <c r="D433" s="13"/>
      <c r="E433" s="13"/>
      <c r="F433" s="13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13"/>
      <c r="B434" s="13"/>
      <c r="C434" s="13"/>
      <c r="D434" s="13"/>
      <c r="E434" s="13"/>
      <c r="F434" s="13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13"/>
      <c r="B435" s="13"/>
      <c r="C435" s="13"/>
      <c r="D435" s="13"/>
      <c r="E435" s="13"/>
      <c r="F435" s="13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13"/>
      <c r="B436" s="13"/>
      <c r="C436" s="13"/>
      <c r="D436" s="13"/>
      <c r="E436" s="13"/>
      <c r="F436" s="13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13"/>
      <c r="B437" s="13"/>
      <c r="C437" s="13"/>
      <c r="D437" s="13"/>
      <c r="E437" s="13"/>
      <c r="F437" s="13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13"/>
      <c r="B438" s="13"/>
      <c r="C438" s="13"/>
      <c r="D438" s="13"/>
      <c r="E438" s="13"/>
      <c r="F438" s="13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13"/>
      <c r="B439" s="13"/>
      <c r="C439" s="13"/>
      <c r="D439" s="13"/>
      <c r="E439" s="13"/>
      <c r="F439" s="13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13"/>
      <c r="B440" s="13"/>
      <c r="C440" s="13"/>
      <c r="D440" s="13"/>
      <c r="E440" s="13"/>
      <c r="F440" s="13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13"/>
      <c r="B441" s="13"/>
      <c r="C441" s="13"/>
      <c r="D441" s="13"/>
      <c r="E441" s="13"/>
      <c r="F441" s="13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13"/>
      <c r="B442" s="13"/>
      <c r="C442" s="13"/>
      <c r="D442" s="13"/>
      <c r="E442" s="13"/>
      <c r="F442" s="13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13"/>
      <c r="B443" s="13"/>
      <c r="C443" s="13"/>
      <c r="D443" s="13"/>
      <c r="E443" s="13"/>
      <c r="F443" s="13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13"/>
      <c r="B444" s="13"/>
      <c r="C444" s="13"/>
      <c r="D444" s="13"/>
      <c r="E444" s="13"/>
      <c r="F444" s="13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13"/>
      <c r="B445" s="13"/>
      <c r="C445" s="13"/>
      <c r="D445" s="13"/>
      <c r="E445" s="13"/>
      <c r="F445" s="13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13"/>
      <c r="B446" s="13"/>
      <c r="C446" s="13"/>
      <c r="D446" s="13"/>
      <c r="E446" s="13"/>
      <c r="F446" s="13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13"/>
      <c r="B447" s="13"/>
      <c r="C447" s="13"/>
      <c r="D447" s="13"/>
      <c r="E447" s="13"/>
      <c r="F447" s="13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13"/>
      <c r="B448" s="13"/>
      <c r="C448" s="13"/>
      <c r="D448" s="13"/>
      <c r="E448" s="13"/>
      <c r="F448" s="13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13"/>
      <c r="B449" s="13"/>
      <c r="C449" s="13"/>
      <c r="D449" s="13"/>
      <c r="E449" s="13"/>
      <c r="F449" s="13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13"/>
      <c r="B450" s="13"/>
      <c r="C450" s="13"/>
      <c r="D450" s="13"/>
      <c r="E450" s="13"/>
      <c r="F450" s="13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13"/>
      <c r="B451" s="13"/>
      <c r="C451" s="13"/>
      <c r="D451" s="13"/>
      <c r="E451" s="13"/>
      <c r="F451" s="13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13"/>
      <c r="B452" s="13"/>
      <c r="C452" s="13"/>
      <c r="D452" s="13"/>
      <c r="E452" s="13"/>
      <c r="F452" s="13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13"/>
      <c r="B453" s="13"/>
      <c r="C453" s="13"/>
      <c r="D453" s="13"/>
      <c r="E453" s="13"/>
      <c r="F453" s="13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13"/>
      <c r="B454" s="13"/>
      <c r="C454" s="13"/>
      <c r="D454" s="13"/>
      <c r="E454" s="13"/>
      <c r="F454" s="13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13"/>
      <c r="B455" s="13"/>
      <c r="C455" s="13"/>
      <c r="D455" s="13"/>
      <c r="E455" s="13"/>
      <c r="F455" s="13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13"/>
      <c r="B456" s="13"/>
      <c r="C456" s="13"/>
      <c r="D456" s="13"/>
      <c r="E456" s="13"/>
      <c r="F456" s="13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13"/>
      <c r="B457" s="13"/>
      <c r="C457" s="13"/>
      <c r="D457" s="13"/>
      <c r="E457" s="13"/>
      <c r="F457" s="13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13"/>
      <c r="B458" s="13"/>
      <c r="C458" s="13"/>
      <c r="D458" s="13"/>
      <c r="E458" s="13"/>
      <c r="F458" s="13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13"/>
      <c r="B459" s="13"/>
      <c r="C459" s="13"/>
      <c r="D459" s="13"/>
      <c r="E459" s="13"/>
      <c r="F459" s="13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13"/>
      <c r="B460" s="13"/>
      <c r="C460" s="13"/>
      <c r="D460" s="13"/>
      <c r="E460" s="13"/>
      <c r="F460" s="13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13"/>
      <c r="B461" s="13"/>
      <c r="C461" s="13"/>
      <c r="D461" s="13"/>
      <c r="E461" s="13"/>
      <c r="F461" s="13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13"/>
      <c r="B462" s="13"/>
      <c r="C462" s="13"/>
      <c r="D462" s="13"/>
      <c r="E462" s="13"/>
      <c r="F462" s="13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13"/>
      <c r="B463" s="13"/>
      <c r="C463" s="13"/>
      <c r="D463" s="13"/>
      <c r="E463" s="13"/>
      <c r="F463" s="13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13"/>
      <c r="B464" s="13"/>
      <c r="C464" s="13"/>
      <c r="D464" s="13"/>
      <c r="E464" s="13"/>
      <c r="F464" s="13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13"/>
      <c r="B465" s="13"/>
      <c r="C465" s="13"/>
      <c r="D465" s="13"/>
      <c r="E465" s="13"/>
      <c r="F465" s="13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13"/>
      <c r="B466" s="13"/>
      <c r="C466" s="13"/>
      <c r="D466" s="13"/>
      <c r="E466" s="13"/>
      <c r="F466" s="13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13"/>
      <c r="B467" s="13"/>
      <c r="C467" s="13"/>
      <c r="D467" s="13"/>
      <c r="E467" s="13"/>
      <c r="F467" s="13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13"/>
      <c r="B468" s="13"/>
      <c r="C468" s="13"/>
      <c r="D468" s="13"/>
      <c r="E468" s="13"/>
      <c r="F468" s="13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13"/>
      <c r="B469" s="13"/>
      <c r="C469" s="13"/>
      <c r="D469" s="13"/>
      <c r="E469" s="13"/>
      <c r="F469" s="13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13"/>
      <c r="B470" s="13"/>
      <c r="C470" s="13"/>
      <c r="D470" s="13"/>
      <c r="E470" s="13"/>
      <c r="F470" s="13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13"/>
      <c r="B471" s="13"/>
      <c r="C471" s="13"/>
      <c r="D471" s="13"/>
      <c r="E471" s="13"/>
      <c r="F471" s="13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13"/>
      <c r="B472" s="13"/>
      <c r="C472" s="13"/>
      <c r="D472" s="13"/>
      <c r="E472" s="13"/>
      <c r="F472" s="13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13"/>
      <c r="B473" s="13"/>
      <c r="C473" s="13"/>
      <c r="D473" s="13"/>
      <c r="E473" s="13"/>
      <c r="F473" s="13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13"/>
      <c r="B474" s="13"/>
      <c r="C474" s="13"/>
      <c r="D474" s="13"/>
      <c r="E474" s="13"/>
      <c r="F474" s="13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13"/>
      <c r="B475" s="13"/>
      <c r="C475" s="13"/>
      <c r="D475" s="13"/>
      <c r="E475" s="13"/>
      <c r="F475" s="13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13"/>
      <c r="B476" s="13"/>
      <c r="C476" s="13"/>
      <c r="D476" s="13"/>
      <c r="E476" s="13"/>
      <c r="F476" s="13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13"/>
      <c r="B477" s="13"/>
      <c r="C477" s="13"/>
      <c r="D477" s="13"/>
      <c r="E477" s="13"/>
      <c r="F477" s="13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13"/>
      <c r="B478" s="13"/>
      <c r="C478" s="13"/>
      <c r="D478" s="13"/>
      <c r="E478" s="13"/>
      <c r="F478" s="13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13"/>
      <c r="B479" s="13"/>
      <c r="C479" s="13"/>
      <c r="D479" s="13"/>
      <c r="E479" s="13"/>
      <c r="F479" s="13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13"/>
      <c r="B480" s="13"/>
      <c r="C480" s="13"/>
      <c r="D480" s="13"/>
      <c r="E480" s="13"/>
      <c r="F480" s="13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13"/>
      <c r="B481" s="13"/>
      <c r="C481" s="13"/>
      <c r="D481" s="13"/>
      <c r="E481" s="13"/>
      <c r="F481" s="13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13"/>
      <c r="B482" s="13"/>
      <c r="C482" s="13"/>
      <c r="D482" s="13"/>
      <c r="E482" s="13"/>
      <c r="F482" s="13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13"/>
      <c r="B483" s="13"/>
      <c r="C483" s="13"/>
      <c r="D483" s="13"/>
      <c r="E483" s="13"/>
      <c r="F483" s="13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13"/>
      <c r="B484" s="13"/>
      <c r="C484" s="13"/>
      <c r="D484" s="13"/>
      <c r="E484" s="13"/>
      <c r="F484" s="13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13"/>
      <c r="B485" s="13"/>
      <c r="C485" s="13"/>
      <c r="D485" s="13"/>
      <c r="E485" s="13"/>
      <c r="F485" s="13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13"/>
      <c r="B486" s="13"/>
      <c r="C486" s="13"/>
      <c r="D486" s="13"/>
      <c r="E486" s="13"/>
      <c r="F486" s="13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13"/>
      <c r="B487" s="13"/>
      <c r="C487" s="13"/>
      <c r="D487" s="13"/>
      <c r="E487" s="13"/>
      <c r="F487" s="13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13"/>
      <c r="B488" s="13"/>
      <c r="C488" s="13"/>
      <c r="D488" s="13"/>
      <c r="E488" s="13"/>
      <c r="F488" s="13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13"/>
      <c r="B489" s="13"/>
      <c r="C489" s="13"/>
      <c r="D489" s="13"/>
      <c r="E489" s="13"/>
      <c r="F489" s="13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13"/>
      <c r="B490" s="13"/>
      <c r="C490" s="13"/>
      <c r="D490" s="13"/>
      <c r="E490" s="13"/>
      <c r="F490" s="13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13"/>
      <c r="B491" s="13"/>
      <c r="C491" s="13"/>
      <c r="D491" s="13"/>
      <c r="E491" s="13"/>
      <c r="F491" s="13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13"/>
      <c r="B492" s="13"/>
      <c r="C492" s="13"/>
      <c r="D492" s="13"/>
      <c r="E492" s="13"/>
      <c r="F492" s="13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13"/>
      <c r="B493" s="13"/>
      <c r="C493" s="13"/>
      <c r="D493" s="13"/>
      <c r="E493" s="13"/>
      <c r="F493" s="13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13"/>
      <c r="B494" s="13"/>
      <c r="C494" s="13"/>
      <c r="D494" s="13"/>
      <c r="E494" s="13"/>
      <c r="F494" s="13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13"/>
      <c r="B495" s="13"/>
      <c r="C495" s="13"/>
      <c r="D495" s="13"/>
      <c r="E495" s="13"/>
      <c r="F495" s="13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13"/>
      <c r="B496" s="13"/>
      <c r="C496" s="13"/>
      <c r="D496" s="13"/>
      <c r="E496" s="13"/>
      <c r="F496" s="13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13"/>
      <c r="B497" s="13"/>
      <c r="C497" s="13"/>
      <c r="D497" s="13"/>
      <c r="E497" s="13"/>
      <c r="F497" s="13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13"/>
      <c r="B498" s="13"/>
      <c r="C498" s="13"/>
      <c r="D498" s="13"/>
      <c r="E498" s="13"/>
      <c r="F498" s="13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13"/>
      <c r="B499" s="13"/>
      <c r="C499" s="13"/>
      <c r="D499" s="13"/>
      <c r="E499" s="13"/>
      <c r="F499" s="13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13"/>
      <c r="B500" s="13"/>
      <c r="C500" s="13"/>
      <c r="D500" s="13"/>
      <c r="E500" s="13"/>
      <c r="F500" s="13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13"/>
      <c r="B501" s="13"/>
      <c r="C501" s="13"/>
      <c r="D501" s="13"/>
      <c r="E501" s="13"/>
      <c r="F501" s="13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13"/>
      <c r="B502" s="13"/>
      <c r="C502" s="13"/>
      <c r="D502" s="13"/>
      <c r="E502" s="13"/>
      <c r="F502" s="13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13"/>
      <c r="B503" s="13"/>
      <c r="C503" s="13"/>
      <c r="D503" s="13"/>
      <c r="E503" s="13"/>
      <c r="F503" s="13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13"/>
      <c r="B504" s="13"/>
      <c r="C504" s="13"/>
      <c r="D504" s="13"/>
      <c r="E504" s="13"/>
      <c r="F504" s="13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13"/>
      <c r="B505" s="13"/>
      <c r="C505" s="13"/>
      <c r="D505" s="13"/>
      <c r="E505" s="13"/>
      <c r="F505" s="13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13"/>
      <c r="B506" s="13"/>
      <c r="C506" s="13"/>
      <c r="D506" s="13"/>
      <c r="E506" s="13"/>
      <c r="F506" s="13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13"/>
      <c r="B507" s="13"/>
      <c r="C507" s="13"/>
      <c r="D507" s="13"/>
      <c r="E507" s="13"/>
      <c r="F507" s="13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13"/>
      <c r="B508" s="13"/>
      <c r="C508" s="13"/>
      <c r="D508" s="13"/>
      <c r="E508" s="13"/>
      <c r="F508" s="13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13"/>
      <c r="B509" s="13"/>
      <c r="C509" s="13"/>
      <c r="D509" s="13"/>
      <c r="E509" s="13"/>
      <c r="F509" s="13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13"/>
      <c r="B510" s="13"/>
      <c r="C510" s="13"/>
      <c r="D510" s="13"/>
      <c r="E510" s="13"/>
      <c r="F510" s="13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13"/>
      <c r="B511" s="13"/>
      <c r="C511" s="13"/>
      <c r="D511" s="13"/>
      <c r="E511" s="13"/>
      <c r="F511" s="13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13"/>
      <c r="B512" s="13"/>
      <c r="C512" s="13"/>
      <c r="D512" s="13"/>
      <c r="E512" s="13"/>
      <c r="F512" s="13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13"/>
      <c r="B513" s="13"/>
      <c r="C513" s="13"/>
      <c r="D513" s="13"/>
      <c r="E513" s="13"/>
      <c r="F513" s="13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13"/>
      <c r="B514" s="13"/>
      <c r="C514" s="13"/>
      <c r="D514" s="13"/>
      <c r="E514" s="13"/>
      <c r="F514" s="13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13"/>
      <c r="B515" s="13"/>
      <c r="C515" s="13"/>
      <c r="D515" s="13"/>
      <c r="E515" s="13"/>
      <c r="F515" s="13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13"/>
      <c r="B516" s="13"/>
      <c r="C516" s="13"/>
      <c r="D516" s="13"/>
      <c r="E516" s="13"/>
      <c r="F516" s="13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13"/>
      <c r="B517" s="13"/>
      <c r="C517" s="13"/>
      <c r="D517" s="13"/>
      <c r="E517" s="13"/>
      <c r="F517" s="13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13"/>
      <c r="B518" s="13"/>
      <c r="C518" s="13"/>
      <c r="D518" s="13"/>
      <c r="E518" s="13"/>
      <c r="F518" s="13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13"/>
      <c r="B519" s="13"/>
      <c r="C519" s="13"/>
      <c r="D519" s="13"/>
      <c r="E519" s="13"/>
      <c r="F519" s="13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13"/>
      <c r="B520" s="13"/>
      <c r="C520" s="13"/>
      <c r="D520" s="13"/>
      <c r="E520" s="13"/>
      <c r="F520" s="13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13"/>
      <c r="B521" s="13"/>
      <c r="C521" s="13"/>
      <c r="D521" s="13"/>
      <c r="E521" s="13"/>
      <c r="F521" s="13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13"/>
      <c r="B522" s="13"/>
      <c r="C522" s="13"/>
      <c r="D522" s="13"/>
      <c r="E522" s="13"/>
      <c r="F522" s="13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13"/>
      <c r="B523" s="13"/>
      <c r="C523" s="13"/>
      <c r="D523" s="13"/>
      <c r="E523" s="13"/>
      <c r="F523" s="13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13"/>
      <c r="B524" s="13"/>
      <c r="C524" s="13"/>
      <c r="D524" s="13"/>
      <c r="E524" s="13"/>
      <c r="F524" s="13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13"/>
      <c r="B525" s="13"/>
      <c r="C525" s="13"/>
      <c r="D525" s="13"/>
      <c r="E525" s="13"/>
      <c r="F525" s="13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13"/>
      <c r="B526" s="13"/>
      <c r="C526" s="13"/>
      <c r="D526" s="13"/>
      <c r="E526" s="13"/>
      <c r="F526" s="13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13"/>
      <c r="B527" s="13"/>
      <c r="C527" s="13"/>
      <c r="D527" s="13"/>
      <c r="E527" s="13"/>
      <c r="F527" s="13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13"/>
      <c r="B528" s="13"/>
      <c r="C528" s="13"/>
      <c r="D528" s="13"/>
      <c r="E528" s="13"/>
      <c r="F528" s="13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13"/>
      <c r="B529" s="13"/>
      <c r="C529" s="13"/>
      <c r="D529" s="13"/>
      <c r="E529" s="13"/>
      <c r="F529" s="13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13"/>
      <c r="B530" s="13"/>
      <c r="C530" s="13"/>
      <c r="D530" s="13"/>
      <c r="E530" s="13"/>
      <c r="F530" s="13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13"/>
      <c r="B531" s="13"/>
      <c r="C531" s="13"/>
      <c r="D531" s="13"/>
      <c r="E531" s="13"/>
      <c r="F531" s="13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13"/>
      <c r="B532" s="13"/>
      <c r="C532" s="13"/>
      <c r="D532" s="13"/>
      <c r="E532" s="13"/>
      <c r="F532" s="13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13"/>
      <c r="B533" s="13"/>
      <c r="C533" s="13"/>
      <c r="D533" s="13"/>
      <c r="E533" s="13"/>
      <c r="F533" s="13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13"/>
      <c r="B534" s="13"/>
      <c r="C534" s="13"/>
      <c r="D534" s="13"/>
      <c r="E534" s="13"/>
      <c r="F534" s="13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13"/>
      <c r="B535" s="13"/>
      <c r="C535" s="13"/>
      <c r="D535" s="13"/>
      <c r="E535" s="13"/>
      <c r="F535" s="13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13"/>
      <c r="B536" s="13"/>
      <c r="C536" s="13"/>
      <c r="D536" s="13"/>
      <c r="E536" s="13"/>
      <c r="F536" s="13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13"/>
      <c r="B537" s="13"/>
      <c r="C537" s="13"/>
      <c r="D537" s="13"/>
      <c r="E537" s="13"/>
      <c r="F537" s="13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13"/>
      <c r="B538" s="13"/>
      <c r="C538" s="13"/>
      <c r="D538" s="13"/>
      <c r="E538" s="13"/>
      <c r="F538" s="13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13"/>
      <c r="B539" s="13"/>
      <c r="C539" s="13"/>
      <c r="D539" s="13"/>
      <c r="E539" s="13"/>
      <c r="F539" s="13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13"/>
      <c r="B540" s="13"/>
      <c r="C540" s="13"/>
      <c r="D540" s="13"/>
      <c r="E540" s="13"/>
      <c r="F540" s="13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13"/>
      <c r="B541" s="13"/>
      <c r="C541" s="13"/>
      <c r="D541" s="13"/>
      <c r="E541" s="13"/>
      <c r="F541" s="13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13"/>
      <c r="B542" s="13"/>
      <c r="C542" s="13"/>
      <c r="D542" s="13"/>
      <c r="E542" s="13"/>
      <c r="F542" s="13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13"/>
      <c r="B543" s="13"/>
      <c r="C543" s="13"/>
      <c r="D543" s="13"/>
      <c r="E543" s="13"/>
      <c r="F543" s="13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13"/>
      <c r="B544" s="13"/>
      <c r="C544" s="13"/>
      <c r="D544" s="13"/>
      <c r="E544" s="13"/>
      <c r="F544" s="13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13"/>
      <c r="B545" s="13"/>
      <c r="C545" s="13"/>
      <c r="D545" s="13"/>
      <c r="E545" s="13"/>
      <c r="F545" s="13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13"/>
      <c r="B546" s="13"/>
      <c r="C546" s="13"/>
      <c r="D546" s="13"/>
      <c r="E546" s="13"/>
      <c r="F546" s="13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13"/>
      <c r="B547" s="13"/>
      <c r="C547" s="13"/>
      <c r="D547" s="13"/>
      <c r="E547" s="13"/>
      <c r="F547" s="13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13"/>
      <c r="B548" s="13"/>
      <c r="C548" s="13"/>
      <c r="D548" s="13"/>
      <c r="E548" s="13"/>
      <c r="F548" s="13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13"/>
      <c r="B549" s="13"/>
      <c r="C549" s="13"/>
      <c r="D549" s="13"/>
      <c r="E549" s="13"/>
      <c r="F549" s="13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13"/>
      <c r="B550" s="13"/>
      <c r="C550" s="13"/>
      <c r="D550" s="13"/>
      <c r="E550" s="13"/>
      <c r="F550" s="13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13"/>
      <c r="B551" s="13"/>
      <c r="C551" s="13"/>
      <c r="D551" s="13"/>
      <c r="E551" s="13"/>
      <c r="F551" s="13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13"/>
      <c r="B552" s="13"/>
      <c r="C552" s="13"/>
      <c r="D552" s="13"/>
      <c r="E552" s="13"/>
      <c r="F552" s="13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13"/>
      <c r="B553" s="13"/>
      <c r="C553" s="13"/>
      <c r="D553" s="13"/>
      <c r="E553" s="13"/>
      <c r="F553" s="13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13"/>
      <c r="B554" s="13"/>
      <c r="C554" s="13"/>
      <c r="D554" s="13"/>
      <c r="E554" s="13"/>
      <c r="F554" s="13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13"/>
      <c r="B555" s="13"/>
      <c r="C555" s="13"/>
      <c r="D555" s="13"/>
      <c r="E555" s="13"/>
      <c r="F555" s="13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13"/>
      <c r="B556" s="13"/>
      <c r="C556" s="13"/>
      <c r="D556" s="13"/>
      <c r="E556" s="13"/>
      <c r="F556" s="13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13"/>
      <c r="B557" s="13"/>
      <c r="C557" s="13"/>
      <c r="D557" s="13"/>
      <c r="E557" s="13"/>
      <c r="F557" s="13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13"/>
      <c r="B558" s="13"/>
      <c r="C558" s="13"/>
      <c r="D558" s="13"/>
      <c r="E558" s="13"/>
      <c r="F558" s="13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13"/>
      <c r="B559" s="13"/>
      <c r="C559" s="13"/>
      <c r="D559" s="13"/>
      <c r="E559" s="13"/>
      <c r="F559" s="13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13"/>
      <c r="B560" s="13"/>
      <c r="C560" s="13"/>
      <c r="D560" s="13"/>
      <c r="E560" s="13"/>
      <c r="F560" s="13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13"/>
      <c r="B561" s="13"/>
      <c r="C561" s="13"/>
      <c r="D561" s="13"/>
      <c r="E561" s="13"/>
      <c r="F561" s="13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13"/>
      <c r="B562" s="13"/>
      <c r="C562" s="13"/>
      <c r="D562" s="13"/>
      <c r="E562" s="13"/>
      <c r="F562" s="13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13"/>
      <c r="B563" s="13"/>
      <c r="C563" s="13"/>
      <c r="D563" s="13"/>
      <c r="E563" s="13"/>
      <c r="F563" s="13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13"/>
      <c r="B564" s="13"/>
      <c r="C564" s="13"/>
      <c r="D564" s="13"/>
      <c r="E564" s="13"/>
      <c r="F564" s="13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13"/>
      <c r="B565" s="13"/>
      <c r="C565" s="13"/>
      <c r="D565" s="13"/>
      <c r="E565" s="13"/>
      <c r="F565" s="13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13"/>
      <c r="B566" s="13"/>
      <c r="C566" s="13"/>
      <c r="D566" s="13"/>
      <c r="E566" s="13"/>
      <c r="F566" s="13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13"/>
      <c r="B567" s="13"/>
      <c r="C567" s="13"/>
      <c r="D567" s="13"/>
      <c r="E567" s="13"/>
      <c r="F567" s="13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13"/>
      <c r="B568" s="13"/>
      <c r="C568" s="13"/>
      <c r="D568" s="13"/>
      <c r="E568" s="13"/>
      <c r="F568" s="13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13"/>
      <c r="B569" s="13"/>
      <c r="C569" s="13"/>
      <c r="D569" s="13"/>
      <c r="E569" s="13"/>
      <c r="F569" s="13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13"/>
      <c r="B570" s="13"/>
      <c r="C570" s="13"/>
      <c r="D570" s="13"/>
      <c r="E570" s="13"/>
      <c r="F570" s="13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13"/>
      <c r="B571" s="13"/>
      <c r="C571" s="13"/>
      <c r="D571" s="13"/>
      <c r="E571" s="13"/>
      <c r="F571" s="13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13"/>
      <c r="B572" s="13"/>
      <c r="C572" s="13"/>
      <c r="D572" s="13"/>
      <c r="E572" s="13"/>
      <c r="F572" s="13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13"/>
      <c r="B573" s="13"/>
      <c r="C573" s="13"/>
      <c r="D573" s="13"/>
      <c r="E573" s="13"/>
      <c r="F573" s="13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13"/>
      <c r="B574" s="13"/>
      <c r="C574" s="13"/>
      <c r="D574" s="13"/>
      <c r="E574" s="13"/>
      <c r="F574" s="13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13"/>
      <c r="B575" s="13"/>
      <c r="C575" s="13"/>
      <c r="D575" s="13"/>
      <c r="E575" s="13"/>
      <c r="F575" s="13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13"/>
      <c r="B576" s="13"/>
      <c r="C576" s="13"/>
      <c r="D576" s="13"/>
      <c r="E576" s="13"/>
      <c r="F576" s="13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13"/>
      <c r="B577" s="13"/>
      <c r="C577" s="13"/>
      <c r="D577" s="13"/>
      <c r="E577" s="13"/>
      <c r="F577" s="13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13"/>
      <c r="B578" s="13"/>
      <c r="C578" s="13"/>
      <c r="D578" s="13"/>
      <c r="E578" s="13"/>
      <c r="F578" s="13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13"/>
      <c r="B579" s="13"/>
      <c r="C579" s="13"/>
      <c r="D579" s="13"/>
      <c r="E579" s="13"/>
      <c r="F579" s="13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13"/>
      <c r="B580" s="13"/>
      <c r="C580" s="13"/>
      <c r="D580" s="13"/>
      <c r="E580" s="13"/>
      <c r="F580" s="13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13"/>
      <c r="B581" s="13"/>
      <c r="C581" s="13"/>
      <c r="D581" s="13"/>
      <c r="E581" s="13"/>
      <c r="F581" s="13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13"/>
      <c r="B582" s="13"/>
      <c r="C582" s="13"/>
      <c r="D582" s="13"/>
      <c r="E582" s="13"/>
      <c r="F582" s="13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13"/>
      <c r="B583" s="13"/>
      <c r="C583" s="13"/>
      <c r="D583" s="13"/>
      <c r="E583" s="13"/>
      <c r="F583" s="13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13"/>
      <c r="B584" s="13"/>
      <c r="C584" s="13"/>
      <c r="D584" s="13"/>
      <c r="E584" s="13"/>
      <c r="F584" s="13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13"/>
      <c r="B585" s="13"/>
      <c r="C585" s="13"/>
      <c r="D585" s="13"/>
      <c r="E585" s="13"/>
      <c r="F585" s="13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13"/>
      <c r="B586" s="13"/>
      <c r="C586" s="13"/>
      <c r="D586" s="13"/>
      <c r="E586" s="13"/>
      <c r="F586" s="13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13"/>
      <c r="B587" s="13"/>
      <c r="C587" s="13"/>
      <c r="D587" s="13"/>
      <c r="E587" s="13"/>
      <c r="F587" s="13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13"/>
      <c r="B588" s="13"/>
      <c r="C588" s="13"/>
      <c r="D588" s="13"/>
      <c r="E588" s="13"/>
      <c r="F588" s="13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13"/>
      <c r="B589" s="13"/>
      <c r="C589" s="13"/>
      <c r="D589" s="13"/>
      <c r="E589" s="13"/>
      <c r="F589" s="13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13"/>
      <c r="B590" s="13"/>
      <c r="C590" s="13"/>
      <c r="D590" s="13"/>
      <c r="E590" s="13"/>
      <c r="F590" s="13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13"/>
      <c r="B591" s="13"/>
      <c r="C591" s="13"/>
      <c r="D591" s="13"/>
      <c r="E591" s="13"/>
      <c r="F591" s="13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13"/>
      <c r="B592" s="13"/>
      <c r="C592" s="13"/>
      <c r="D592" s="13"/>
      <c r="E592" s="13"/>
      <c r="F592" s="13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13"/>
      <c r="B593" s="13"/>
      <c r="C593" s="13"/>
      <c r="D593" s="13"/>
      <c r="E593" s="13"/>
      <c r="F593" s="13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13"/>
      <c r="B594" s="13"/>
      <c r="C594" s="13"/>
      <c r="D594" s="13"/>
      <c r="E594" s="13"/>
      <c r="F594" s="13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13"/>
      <c r="B595" s="13"/>
      <c r="C595" s="13"/>
      <c r="D595" s="13"/>
      <c r="E595" s="13"/>
      <c r="F595" s="13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13"/>
      <c r="B596" s="13"/>
      <c r="C596" s="13"/>
      <c r="D596" s="13"/>
      <c r="E596" s="13"/>
      <c r="F596" s="13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13"/>
      <c r="B597" s="13"/>
      <c r="C597" s="13"/>
      <c r="D597" s="13"/>
      <c r="E597" s="13"/>
      <c r="F597" s="13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13"/>
      <c r="B598" s="13"/>
      <c r="C598" s="13"/>
      <c r="D598" s="13"/>
      <c r="E598" s="13"/>
      <c r="F598" s="13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13"/>
      <c r="B599" s="13"/>
      <c r="C599" s="13"/>
      <c r="D599" s="13"/>
      <c r="E599" s="13"/>
      <c r="F599" s="13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13"/>
      <c r="B600" s="13"/>
      <c r="C600" s="13"/>
      <c r="D600" s="13"/>
      <c r="E600" s="13"/>
      <c r="F600" s="13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13"/>
      <c r="B601" s="13"/>
      <c r="C601" s="13"/>
      <c r="D601" s="13"/>
      <c r="E601" s="13"/>
      <c r="F601" s="13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13"/>
      <c r="B602" s="13"/>
      <c r="C602" s="13"/>
      <c r="D602" s="13"/>
      <c r="E602" s="13"/>
      <c r="F602" s="13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13"/>
      <c r="B603" s="13"/>
      <c r="C603" s="13"/>
      <c r="D603" s="13"/>
      <c r="E603" s="13"/>
      <c r="F603" s="13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13"/>
      <c r="B604" s="13"/>
      <c r="C604" s="13"/>
      <c r="D604" s="13"/>
      <c r="E604" s="13"/>
      <c r="F604" s="13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13"/>
      <c r="B605" s="13"/>
      <c r="C605" s="13"/>
      <c r="D605" s="13"/>
      <c r="E605" s="13"/>
      <c r="F605" s="13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13"/>
      <c r="B606" s="13"/>
      <c r="C606" s="13"/>
      <c r="D606" s="13"/>
      <c r="E606" s="13"/>
      <c r="F606" s="13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13"/>
      <c r="B607" s="13"/>
      <c r="C607" s="13"/>
      <c r="D607" s="13"/>
      <c r="E607" s="13"/>
      <c r="F607" s="13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13"/>
      <c r="B608" s="13"/>
      <c r="C608" s="13"/>
      <c r="D608" s="13"/>
      <c r="E608" s="13"/>
      <c r="F608" s="13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13"/>
      <c r="B609" s="13"/>
      <c r="C609" s="13"/>
      <c r="D609" s="13"/>
      <c r="E609" s="13"/>
      <c r="F609" s="13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13"/>
      <c r="B610" s="13"/>
      <c r="C610" s="13"/>
      <c r="D610" s="13"/>
      <c r="E610" s="13"/>
      <c r="F610" s="13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13"/>
      <c r="B611" s="13"/>
      <c r="C611" s="13"/>
      <c r="D611" s="13"/>
      <c r="E611" s="13"/>
      <c r="F611" s="13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13"/>
      <c r="B612" s="13"/>
      <c r="C612" s="13"/>
      <c r="D612" s="13"/>
      <c r="E612" s="13"/>
      <c r="F612" s="13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13"/>
      <c r="B613" s="13"/>
      <c r="C613" s="13"/>
      <c r="D613" s="13"/>
      <c r="E613" s="13"/>
      <c r="F613" s="13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13"/>
      <c r="B614" s="13"/>
      <c r="C614" s="13"/>
      <c r="D614" s="13"/>
      <c r="E614" s="13"/>
      <c r="F614" s="13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13"/>
      <c r="B615" s="13"/>
      <c r="C615" s="13"/>
      <c r="D615" s="13"/>
      <c r="E615" s="13"/>
      <c r="F615" s="13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13"/>
      <c r="B616" s="13"/>
      <c r="C616" s="13"/>
      <c r="D616" s="13"/>
      <c r="E616" s="13"/>
      <c r="F616" s="13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13"/>
      <c r="B617" s="13"/>
      <c r="C617" s="13"/>
      <c r="D617" s="13"/>
      <c r="E617" s="13"/>
      <c r="F617" s="13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13"/>
      <c r="B618" s="13"/>
      <c r="C618" s="13"/>
      <c r="D618" s="13"/>
      <c r="E618" s="13"/>
      <c r="F618" s="13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13"/>
      <c r="B619" s="13"/>
      <c r="C619" s="13"/>
      <c r="D619" s="13"/>
      <c r="E619" s="13"/>
      <c r="F619" s="13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13"/>
      <c r="B620" s="13"/>
      <c r="C620" s="13"/>
      <c r="D620" s="13"/>
      <c r="E620" s="13"/>
      <c r="F620" s="13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13"/>
      <c r="B621" s="13"/>
      <c r="C621" s="13"/>
      <c r="D621" s="13"/>
      <c r="E621" s="13"/>
      <c r="F621" s="13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13"/>
      <c r="B622" s="13"/>
      <c r="C622" s="13"/>
      <c r="D622" s="13"/>
      <c r="E622" s="13"/>
      <c r="F622" s="13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13"/>
      <c r="B623" s="13"/>
      <c r="C623" s="13"/>
      <c r="D623" s="13"/>
      <c r="E623" s="13"/>
      <c r="F623" s="13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13"/>
      <c r="B624" s="13"/>
      <c r="C624" s="13"/>
      <c r="D624" s="13"/>
      <c r="E624" s="13"/>
      <c r="F624" s="13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13"/>
      <c r="B625" s="13"/>
      <c r="C625" s="13"/>
      <c r="D625" s="13"/>
      <c r="E625" s="13"/>
      <c r="F625" s="13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13"/>
      <c r="B626" s="13"/>
      <c r="C626" s="13"/>
      <c r="D626" s="13"/>
      <c r="E626" s="13"/>
      <c r="F626" s="13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13"/>
      <c r="B627" s="13"/>
      <c r="C627" s="13"/>
      <c r="D627" s="13"/>
      <c r="E627" s="13"/>
      <c r="F627" s="13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13"/>
      <c r="B628" s="13"/>
      <c r="C628" s="13"/>
      <c r="D628" s="13"/>
      <c r="E628" s="13"/>
      <c r="F628" s="13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13"/>
      <c r="B629" s="13"/>
      <c r="C629" s="13"/>
      <c r="D629" s="13"/>
      <c r="E629" s="13"/>
      <c r="F629" s="13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13"/>
      <c r="B630" s="13"/>
      <c r="C630" s="13"/>
      <c r="D630" s="13"/>
      <c r="E630" s="13"/>
      <c r="F630" s="13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13"/>
      <c r="B631" s="13"/>
      <c r="C631" s="13"/>
      <c r="D631" s="13"/>
      <c r="E631" s="13"/>
      <c r="F631" s="13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13"/>
      <c r="B632" s="13"/>
      <c r="C632" s="13"/>
      <c r="D632" s="13"/>
      <c r="E632" s="13"/>
      <c r="F632" s="13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13"/>
      <c r="B633" s="13"/>
      <c r="C633" s="13"/>
      <c r="D633" s="13"/>
      <c r="E633" s="13"/>
      <c r="F633" s="13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13"/>
      <c r="B634" s="13"/>
      <c r="C634" s="13"/>
      <c r="D634" s="13"/>
      <c r="E634" s="13"/>
      <c r="F634" s="13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13"/>
      <c r="B635" s="13"/>
      <c r="C635" s="13"/>
      <c r="D635" s="13"/>
      <c r="E635" s="13"/>
      <c r="F635" s="13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13"/>
      <c r="B636" s="13"/>
      <c r="C636" s="13"/>
      <c r="D636" s="13"/>
      <c r="E636" s="13"/>
      <c r="F636" s="13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13"/>
      <c r="B637" s="13"/>
      <c r="C637" s="13"/>
      <c r="D637" s="13"/>
      <c r="E637" s="13"/>
      <c r="F637" s="13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13"/>
      <c r="B638" s="13"/>
      <c r="C638" s="13"/>
      <c r="D638" s="13"/>
      <c r="E638" s="13"/>
      <c r="F638" s="13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13"/>
      <c r="B639" s="13"/>
      <c r="C639" s="13"/>
      <c r="D639" s="13"/>
      <c r="E639" s="13"/>
      <c r="F639" s="13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13"/>
      <c r="B640" s="13"/>
      <c r="C640" s="13"/>
      <c r="D640" s="13"/>
      <c r="E640" s="13"/>
      <c r="F640" s="13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13"/>
      <c r="B641" s="13"/>
      <c r="C641" s="13"/>
      <c r="D641" s="13"/>
      <c r="E641" s="13"/>
      <c r="F641" s="13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13"/>
      <c r="B642" s="13"/>
      <c r="C642" s="13"/>
      <c r="D642" s="13"/>
      <c r="E642" s="13"/>
      <c r="F642" s="13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13"/>
      <c r="B643" s="13"/>
      <c r="C643" s="13"/>
      <c r="D643" s="13"/>
      <c r="E643" s="13"/>
      <c r="F643" s="13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13"/>
      <c r="B644" s="13"/>
      <c r="C644" s="13"/>
      <c r="D644" s="13"/>
      <c r="E644" s="13"/>
      <c r="F644" s="13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13"/>
      <c r="B645" s="13"/>
      <c r="C645" s="13"/>
      <c r="D645" s="13"/>
      <c r="E645" s="13"/>
      <c r="F645" s="13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13"/>
      <c r="B646" s="13"/>
      <c r="C646" s="13"/>
      <c r="D646" s="13"/>
      <c r="E646" s="13"/>
      <c r="F646" s="13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13"/>
      <c r="B647" s="13"/>
      <c r="C647" s="13"/>
      <c r="D647" s="13"/>
      <c r="E647" s="13"/>
      <c r="F647" s="13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13"/>
      <c r="B648" s="13"/>
      <c r="C648" s="13"/>
      <c r="D648" s="13"/>
      <c r="E648" s="13"/>
      <c r="F648" s="13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13"/>
      <c r="B649" s="13"/>
      <c r="C649" s="13"/>
      <c r="D649" s="13"/>
      <c r="E649" s="13"/>
      <c r="F649" s="13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13"/>
      <c r="B650" s="13"/>
      <c r="C650" s="13"/>
      <c r="D650" s="13"/>
      <c r="E650" s="13"/>
      <c r="F650" s="13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13"/>
      <c r="B651" s="13"/>
      <c r="C651" s="13"/>
      <c r="D651" s="13"/>
      <c r="E651" s="13"/>
      <c r="F651" s="13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13"/>
      <c r="B652" s="13"/>
      <c r="C652" s="13"/>
      <c r="D652" s="13"/>
      <c r="E652" s="13"/>
      <c r="F652" s="13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13"/>
      <c r="B653" s="13"/>
      <c r="C653" s="13"/>
      <c r="D653" s="13"/>
      <c r="E653" s="13"/>
      <c r="F653" s="13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13"/>
      <c r="B654" s="13"/>
      <c r="C654" s="13"/>
      <c r="D654" s="13"/>
      <c r="E654" s="13"/>
      <c r="F654" s="13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13"/>
      <c r="B655" s="13"/>
      <c r="C655" s="13"/>
      <c r="D655" s="13"/>
      <c r="E655" s="13"/>
      <c r="F655" s="13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13"/>
      <c r="B656" s="13"/>
      <c r="C656" s="13"/>
      <c r="D656" s="13"/>
      <c r="E656" s="13"/>
      <c r="F656" s="13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13"/>
      <c r="B657" s="13"/>
      <c r="C657" s="13"/>
      <c r="D657" s="13"/>
      <c r="E657" s="13"/>
      <c r="F657" s="13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13"/>
      <c r="B658" s="13"/>
      <c r="C658" s="13"/>
      <c r="D658" s="13"/>
      <c r="E658" s="13"/>
      <c r="F658" s="13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13"/>
      <c r="B659" s="13"/>
      <c r="C659" s="13"/>
      <c r="D659" s="13"/>
      <c r="E659" s="13"/>
      <c r="F659" s="13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13"/>
      <c r="B660" s="13"/>
      <c r="C660" s="13"/>
      <c r="D660" s="13"/>
      <c r="E660" s="13"/>
      <c r="F660" s="13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13"/>
      <c r="B661" s="13"/>
      <c r="C661" s="13"/>
      <c r="D661" s="13"/>
      <c r="E661" s="13"/>
      <c r="F661" s="13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13"/>
      <c r="B662" s="13"/>
      <c r="C662" s="13"/>
      <c r="D662" s="13"/>
      <c r="E662" s="13"/>
      <c r="F662" s="13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13"/>
      <c r="B663" s="13"/>
      <c r="C663" s="13"/>
      <c r="D663" s="13"/>
      <c r="E663" s="13"/>
      <c r="F663" s="13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13"/>
      <c r="B664" s="13"/>
      <c r="C664" s="13"/>
      <c r="D664" s="13"/>
      <c r="E664" s="13"/>
      <c r="F664" s="13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13"/>
      <c r="B665" s="13"/>
      <c r="C665" s="13"/>
      <c r="D665" s="13"/>
      <c r="E665" s="13"/>
      <c r="F665" s="13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13"/>
      <c r="B666" s="13"/>
      <c r="C666" s="13"/>
      <c r="D666" s="13"/>
      <c r="E666" s="13"/>
      <c r="F666" s="13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13"/>
      <c r="B667" s="13"/>
      <c r="C667" s="13"/>
      <c r="D667" s="13"/>
      <c r="E667" s="13"/>
      <c r="F667" s="13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13"/>
      <c r="B668" s="13"/>
      <c r="C668" s="13"/>
      <c r="D668" s="13"/>
      <c r="E668" s="13"/>
      <c r="F668" s="13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13"/>
      <c r="B669" s="13"/>
      <c r="C669" s="13"/>
      <c r="D669" s="13"/>
      <c r="E669" s="13"/>
      <c r="F669" s="13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13"/>
      <c r="B670" s="13"/>
      <c r="C670" s="13"/>
      <c r="D670" s="13"/>
      <c r="E670" s="13"/>
      <c r="F670" s="13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13"/>
      <c r="B671" s="13"/>
      <c r="C671" s="13"/>
      <c r="D671" s="13"/>
      <c r="E671" s="13"/>
      <c r="F671" s="13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13"/>
      <c r="B672" s="13"/>
      <c r="C672" s="13"/>
      <c r="D672" s="13"/>
      <c r="E672" s="13"/>
      <c r="F672" s="13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13"/>
      <c r="B673" s="13"/>
      <c r="C673" s="13"/>
      <c r="D673" s="13"/>
      <c r="E673" s="13"/>
      <c r="F673" s="13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13"/>
      <c r="B674" s="13"/>
      <c r="C674" s="13"/>
      <c r="D674" s="13"/>
      <c r="E674" s="13"/>
      <c r="F674" s="13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13"/>
      <c r="B675" s="13"/>
      <c r="C675" s="13"/>
      <c r="D675" s="13"/>
      <c r="E675" s="13"/>
      <c r="F675" s="13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13"/>
      <c r="B676" s="13"/>
      <c r="C676" s="13"/>
      <c r="D676" s="13"/>
      <c r="E676" s="13"/>
      <c r="F676" s="13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13"/>
      <c r="B677" s="13"/>
      <c r="C677" s="13"/>
      <c r="D677" s="13"/>
      <c r="E677" s="13"/>
      <c r="F677" s="13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13"/>
      <c r="B678" s="13"/>
      <c r="C678" s="13"/>
      <c r="D678" s="13"/>
      <c r="E678" s="13"/>
      <c r="F678" s="13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13"/>
      <c r="B679" s="13"/>
      <c r="C679" s="13"/>
      <c r="D679" s="13"/>
      <c r="E679" s="13"/>
      <c r="F679" s="13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13"/>
      <c r="B680" s="13"/>
      <c r="C680" s="13"/>
      <c r="D680" s="13"/>
      <c r="E680" s="13"/>
      <c r="F680" s="13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13"/>
      <c r="B681" s="13"/>
      <c r="C681" s="13"/>
      <c r="D681" s="13"/>
      <c r="E681" s="13"/>
      <c r="F681" s="13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13"/>
      <c r="B682" s="13"/>
      <c r="C682" s="13"/>
      <c r="D682" s="13"/>
      <c r="E682" s="13"/>
      <c r="F682" s="13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13"/>
      <c r="B683" s="13"/>
      <c r="C683" s="13"/>
      <c r="D683" s="13"/>
      <c r="E683" s="13"/>
      <c r="F683" s="13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13"/>
      <c r="B684" s="13"/>
      <c r="C684" s="13"/>
      <c r="D684" s="13"/>
      <c r="E684" s="13"/>
      <c r="F684" s="13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13"/>
      <c r="B685" s="13"/>
      <c r="C685" s="13"/>
      <c r="D685" s="13"/>
      <c r="E685" s="13"/>
      <c r="F685" s="13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13"/>
      <c r="B686" s="13"/>
      <c r="C686" s="13"/>
      <c r="D686" s="13"/>
      <c r="E686" s="13"/>
      <c r="F686" s="13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13"/>
      <c r="B687" s="13"/>
      <c r="C687" s="13"/>
      <c r="D687" s="13"/>
      <c r="E687" s="13"/>
      <c r="F687" s="13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13"/>
      <c r="B688" s="13"/>
      <c r="C688" s="13"/>
      <c r="D688" s="13"/>
      <c r="E688" s="13"/>
      <c r="F688" s="13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13"/>
      <c r="B689" s="13"/>
      <c r="C689" s="13"/>
      <c r="D689" s="13"/>
      <c r="E689" s="13"/>
      <c r="F689" s="13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13"/>
      <c r="B690" s="13"/>
      <c r="C690" s="13"/>
      <c r="D690" s="13"/>
      <c r="E690" s="13"/>
      <c r="F690" s="13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13"/>
      <c r="B691" s="13"/>
      <c r="C691" s="13"/>
      <c r="D691" s="13"/>
      <c r="E691" s="13"/>
      <c r="F691" s="13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13"/>
      <c r="B692" s="13"/>
      <c r="C692" s="13"/>
      <c r="D692" s="13"/>
      <c r="E692" s="13"/>
      <c r="F692" s="13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13"/>
      <c r="B693" s="13"/>
      <c r="C693" s="13"/>
      <c r="D693" s="13"/>
      <c r="E693" s="13"/>
      <c r="F693" s="13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13"/>
      <c r="B694" s="13"/>
      <c r="C694" s="13"/>
      <c r="D694" s="13"/>
      <c r="E694" s="13"/>
      <c r="F694" s="13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13"/>
      <c r="B695" s="13"/>
      <c r="C695" s="13"/>
      <c r="D695" s="13"/>
      <c r="E695" s="13"/>
      <c r="F695" s="13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13"/>
      <c r="B696" s="13"/>
      <c r="C696" s="13"/>
      <c r="D696" s="13"/>
      <c r="E696" s="13"/>
      <c r="F696" s="13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13"/>
      <c r="B697" s="13"/>
      <c r="C697" s="13"/>
      <c r="D697" s="13"/>
      <c r="E697" s="13"/>
      <c r="F697" s="13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13"/>
      <c r="B698" s="13"/>
      <c r="C698" s="13"/>
      <c r="D698" s="13"/>
      <c r="E698" s="13"/>
      <c r="F698" s="13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13"/>
      <c r="B699" s="13"/>
      <c r="C699" s="13"/>
      <c r="D699" s="13"/>
      <c r="E699" s="13"/>
      <c r="F699" s="13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13"/>
      <c r="B700" s="13"/>
      <c r="C700" s="13"/>
      <c r="D700" s="13"/>
      <c r="E700" s="13"/>
      <c r="F700" s="13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13"/>
      <c r="B701" s="13"/>
      <c r="C701" s="13"/>
      <c r="D701" s="13"/>
      <c r="E701" s="13"/>
      <c r="F701" s="13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13"/>
      <c r="B702" s="13"/>
      <c r="C702" s="13"/>
      <c r="D702" s="13"/>
      <c r="E702" s="13"/>
      <c r="F702" s="13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13"/>
      <c r="B703" s="13"/>
      <c r="C703" s="13"/>
      <c r="D703" s="13"/>
      <c r="E703" s="13"/>
      <c r="F703" s="13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13"/>
      <c r="B704" s="13"/>
      <c r="C704" s="13"/>
      <c r="D704" s="13"/>
      <c r="E704" s="13"/>
      <c r="F704" s="13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13"/>
      <c r="B705" s="13"/>
      <c r="C705" s="13"/>
      <c r="D705" s="13"/>
      <c r="E705" s="13"/>
      <c r="F705" s="13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13"/>
      <c r="B706" s="13"/>
      <c r="C706" s="13"/>
      <c r="D706" s="13"/>
      <c r="E706" s="13"/>
      <c r="F706" s="13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13"/>
      <c r="B707" s="13"/>
      <c r="C707" s="13"/>
      <c r="D707" s="13"/>
      <c r="E707" s="13"/>
      <c r="F707" s="13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13"/>
      <c r="B708" s="13"/>
      <c r="C708" s="13"/>
      <c r="D708" s="13"/>
      <c r="E708" s="13"/>
      <c r="F708" s="13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13"/>
      <c r="B709" s="13"/>
      <c r="C709" s="13"/>
      <c r="D709" s="13"/>
      <c r="E709" s="13"/>
      <c r="F709" s="13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13"/>
      <c r="B710" s="13"/>
      <c r="C710" s="13"/>
      <c r="D710" s="13"/>
      <c r="E710" s="13"/>
      <c r="F710" s="13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13"/>
      <c r="B711" s="13"/>
      <c r="C711" s="13"/>
      <c r="D711" s="13"/>
      <c r="E711" s="13"/>
      <c r="F711" s="13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13"/>
      <c r="B712" s="13"/>
      <c r="C712" s="13"/>
      <c r="D712" s="13"/>
      <c r="E712" s="13"/>
      <c r="F712" s="13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13"/>
      <c r="B713" s="13"/>
      <c r="C713" s="13"/>
      <c r="D713" s="13"/>
      <c r="E713" s="13"/>
      <c r="F713" s="13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13"/>
      <c r="B714" s="13"/>
      <c r="C714" s="13"/>
      <c r="D714" s="13"/>
      <c r="E714" s="13"/>
      <c r="F714" s="13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13"/>
      <c r="B715" s="13"/>
      <c r="C715" s="13"/>
      <c r="D715" s="13"/>
      <c r="E715" s="13"/>
      <c r="F715" s="13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13"/>
      <c r="B716" s="13"/>
      <c r="C716" s="13"/>
      <c r="D716" s="13"/>
      <c r="E716" s="13"/>
      <c r="F716" s="13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13"/>
      <c r="B717" s="13"/>
      <c r="C717" s="13"/>
      <c r="D717" s="13"/>
      <c r="E717" s="13"/>
      <c r="F717" s="13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13"/>
      <c r="B718" s="13"/>
      <c r="C718" s="13"/>
      <c r="D718" s="13"/>
      <c r="E718" s="13"/>
      <c r="F718" s="13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13"/>
      <c r="B719" s="13"/>
      <c r="C719" s="13"/>
      <c r="D719" s="13"/>
      <c r="E719" s="13"/>
      <c r="F719" s="13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13"/>
      <c r="B720" s="13"/>
      <c r="C720" s="13"/>
      <c r="D720" s="13"/>
      <c r="E720" s="13"/>
      <c r="F720" s="13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13"/>
      <c r="B721" s="13"/>
      <c r="C721" s="13"/>
      <c r="D721" s="13"/>
      <c r="E721" s="13"/>
      <c r="F721" s="13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13"/>
      <c r="B722" s="13"/>
      <c r="C722" s="13"/>
      <c r="D722" s="13"/>
      <c r="E722" s="13"/>
      <c r="F722" s="13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13"/>
      <c r="B723" s="13"/>
      <c r="C723" s="13"/>
      <c r="D723" s="13"/>
      <c r="E723" s="13"/>
      <c r="F723" s="13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13"/>
      <c r="B724" s="13"/>
      <c r="C724" s="13"/>
      <c r="D724" s="13"/>
      <c r="E724" s="13"/>
      <c r="F724" s="13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13"/>
      <c r="B725" s="13"/>
      <c r="C725" s="13"/>
      <c r="D725" s="13"/>
      <c r="E725" s="13"/>
      <c r="F725" s="13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13"/>
      <c r="B726" s="13"/>
      <c r="C726" s="13"/>
      <c r="D726" s="13"/>
      <c r="E726" s="13"/>
      <c r="F726" s="13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13"/>
      <c r="B727" s="13"/>
      <c r="C727" s="13"/>
      <c r="D727" s="13"/>
      <c r="E727" s="13"/>
      <c r="F727" s="13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13"/>
      <c r="B728" s="13"/>
      <c r="C728" s="13"/>
      <c r="D728" s="13"/>
      <c r="E728" s="13"/>
      <c r="F728" s="13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13"/>
      <c r="B729" s="13"/>
      <c r="C729" s="13"/>
      <c r="D729" s="13"/>
      <c r="E729" s="13"/>
      <c r="F729" s="13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13"/>
      <c r="B730" s="13"/>
      <c r="C730" s="13"/>
      <c r="D730" s="13"/>
      <c r="E730" s="13"/>
      <c r="F730" s="13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13"/>
      <c r="B731" s="13"/>
      <c r="C731" s="13"/>
      <c r="D731" s="13"/>
      <c r="E731" s="13"/>
      <c r="F731" s="13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13"/>
      <c r="B732" s="13"/>
      <c r="C732" s="13"/>
      <c r="D732" s="13"/>
      <c r="E732" s="13"/>
      <c r="F732" s="13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13"/>
      <c r="B733" s="13"/>
      <c r="C733" s="13"/>
      <c r="D733" s="13"/>
      <c r="E733" s="13"/>
      <c r="F733" s="13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13"/>
      <c r="B734" s="13"/>
      <c r="C734" s="13"/>
      <c r="D734" s="13"/>
      <c r="E734" s="13"/>
      <c r="F734" s="13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13"/>
      <c r="B735" s="13"/>
      <c r="C735" s="13"/>
      <c r="D735" s="13"/>
      <c r="E735" s="13"/>
      <c r="F735" s="13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13"/>
      <c r="B736" s="13"/>
      <c r="C736" s="13"/>
      <c r="D736" s="13"/>
      <c r="E736" s="13"/>
      <c r="F736" s="13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13"/>
      <c r="B737" s="13"/>
      <c r="C737" s="13"/>
      <c r="D737" s="13"/>
      <c r="E737" s="13"/>
      <c r="F737" s="13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13"/>
      <c r="B738" s="13"/>
      <c r="C738" s="13"/>
      <c r="D738" s="13"/>
      <c r="E738" s="13"/>
      <c r="F738" s="13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13"/>
      <c r="B739" s="13"/>
      <c r="C739" s="13"/>
      <c r="D739" s="13"/>
      <c r="E739" s="13"/>
      <c r="F739" s="13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13"/>
      <c r="B740" s="13"/>
      <c r="C740" s="13"/>
      <c r="D740" s="13"/>
      <c r="E740" s="13"/>
      <c r="F740" s="13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13"/>
      <c r="B741" s="13"/>
      <c r="C741" s="13"/>
      <c r="D741" s="13"/>
      <c r="E741" s="13"/>
      <c r="F741" s="13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13"/>
      <c r="B742" s="13"/>
      <c r="C742" s="13"/>
      <c r="D742" s="13"/>
      <c r="E742" s="13"/>
      <c r="F742" s="13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13"/>
      <c r="B743" s="13"/>
      <c r="C743" s="13"/>
      <c r="D743" s="13"/>
      <c r="E743" s="13"/>
      <c r="F743" s="13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13"/>
      <c r="B744" s="13"/>
      <c r="C744" s="13"/>
      <c r="D744" s="13"/>
      <c r="E744" s="13"/>
      <c r="F744" s="13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13"/>
      <c r="B745" s="13"/>
      <c r="C745" s="13"/>
      <c r="D745" s="13"/>
      <c r="E745" s="13"/>
      <c r="F745" s="13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13"/>
      <c r="B746" s="13"/>
      <c r="C746" s="13"/>
      <c r="D746" s="13"/>
      <c r="E746" s="13"/>
      <c r="F746" s="13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13"/>
      <c r="B747" s="13"/>
      <c r="C747" s="13"/>
      <c r="D747" s="13"/>
      <c r="E747" s="13"/>
      <c r="F747" s="13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13"/>
      <c r="B748" s="13"/>
      <c r="C748" s="13"/>
      <c r="D748" s="13"/>
      <c r="E748" s="13"/>
      <c r="F748" s="13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13"/>
      <c r="B749" s="13"/>
      <c r="C749" s="13"/>
      <c r="D749" s="13"/>
      <c r="E749" s="13"/>
      <c r="F749" s="13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13"/>
      <c r="B750" s="13"/>
      <c r="C750" s="13"/>
      <c r="D750" s="13"/>
      <c r="E750" s="13"/>
      <c r="F750" s="13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13"/>
      <c r="B751" s="13"/>
      <c r="C751" s="13"/>
      <c r="D751" s="13"/>
      <c r="E751" s="13"/>
      <c r="F751" s="13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13"/>
      <c r="B752" s="13"/>
      <c r="C752" s="13"/>
      <c r="D752" s="13"/>
      <c r="E752" s="13"/>
      <c r="F752" s="13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13"/>
      <c r="B753" s="13"/>
      <c r="C753" s="13"/>
      <c r="D753" s="13"/>
      <c r="E753" s="13"/>
      <c r="F753" s="13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13"/>
      <c r="B754" s="13"/>
      <c r="C754" s="13"/>
      <c r="D754" s="13"/>
      <c r="E754" s="13"/>
      <c r="F754" s="13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13"/>
      <c r="B755" s="13"/>
      <c r="C755" s="13"/>
      <c r="D755" s="13"/>
      <c r="E755" s="13"/>
      <c r="F755" s="13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13"/>
      <c r="B756" s="13"/>
      <c r="C756" s="13"/>
      <c r="D756" s="13"/>
      <c r="E756" s="13"/>
      <c r="F756" s="13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13"/>
      <c r="B757" s="13"/>
      <c r="C757" s="13"/>
      <c r="D757" s="13"/>
      <c r="E757" s="13"/>
      <c r="F757" s="13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13"/>
      <c r="B758" s="13"/>
      <c r="C758" s="13"/>
      <c r="D758" s="13"/>
      <c r="E758" s="13"/>
      <c r="F758" s="13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13"/>
      <c r="B759" s="13"/>
      <c r="C759" s="13"/>
      <c r="D759" s="13"/>
      <c r="E759" s="13"/>
      <c r="F759" s="13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13"/>
      <c r="B760" s="13"/>
      <c r="C760" s="13"/>
      <c r="D760" s="13"/>
      <c r="E760" s="13"/>
      <c r="F760" s="13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13"/>
      <c r="B761" s="13"/>
      <c r="C761" s="13"/>
      <c r="D761" s="13"/>
      <c r="E761" s="13"/>
      <c r="F761" s="13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13"/>
      <c r="B762" s="13"/>
      <c r="C762" s="13"/>
      <c r="D762" s="13"/>
      <c r="E762" s="13"/>
      <c r="F762" s="13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13"/>
      <c r="B763" s="13"/>
      <c r="C763" s="13"/>
      <c r="D763" s="13"/>
      <c r="E763" s="13"/>
      <c r="F763" s="13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13"/>
      <c r="B764" s="13"/>
      <c r="C764" s="13"/>
      <c r="D764" s="13"/>
      <c r="E764" s="13"/>
      <c r="F764" s="13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13"/>
      <c r="B765" s="13"/>
      <c r="C765" s="13"/>
      <c r="D765" s="13"/>
      <c r="E765" s="13"/>
      <c r="F765" s="13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13"/>
      <c r="B766" s="13"/>
      <c r="C766" s="13"/>
      <c r="D766" s="13"/>
      <c r="E766" s="13"/>
      <c r="F766" s="13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13"/>
      <c r="B767" s="13"/>
      <c r="C767" s="13"/>
      <c r="D767" s="13"/>
      <c r="E767" s="13"/>
      <c r="F767" s="13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13"/>
      <c r="B768" s="13"/>
      <c r="C768" s="13"/>
      <c r="D768" s="13"/>
      <c r="E768" s="13"/>
      <c r="F768" s="13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13"/>
      <c r="B769" s="13"/>
      <c r="C769" s="13"/>
      <c r="D769" s="13"/>
      <c r="E769" s="13"/>
      <c r="F769" s="13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13"/>
      <c r="B770" s="13"/>
      <c r="C770" s="13"/>
      <c r="D770" s="13"/>
      <c r="E770" s="13"/>
      <c r="F770" s="13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13"/>
      <c r="B771" s="13"/>
      <c r="C771" s="13"/>
      <c r="D771" s="13"/>
      <c r="E771" s="13"/>
      <c r="F771" s="13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13"/>
      <c r="B772" s="13"/>
      <c r="C772" s="13"/>
      <c r="D772" s="13"/>
      <c r="E772" s="13"/>
      <c r="F772" s="13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13"/>
      <c r="B773" s="13"/>
      <c r="C773" s="13"/>
      <c r="D773" s="13"/>
      <c r="E773" s="13"/>
      <c r="F773" s="13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13"/>
      <c r="B774" s="13"/>
      <c r="C774" s="13"/>
      <c r="D774" s="13"/>
      <c r="E774" s="13"/>
      <c r="F774" s="13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13"/>
      <c r="B775" s="13"/>
      <c r="C775" s="13"/>
      <c r="D775" s="13"/>
      <c r="E775" s="13"/>
      <c r="F775" s="13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13"/>
      <c r="B776" s="13"/>
      <c r="C776" s="13"/>
      <c r="D776" s="13"/>
      <c r="E776" s="13"/>
      <c r="F776" s="13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13"/>
      <c r="B777" s="13"/>
      <c r="C777" s="13"/>
      <c r="D777" s="13"/>
      <c r="E777" s="13"/>
      <c r="F777" s="13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13"/>
      <c r="B778" s="13"/>
      <c r="C778" s="13"/>
      <c r="D778" s="13"/>
      <c r="E778" s="13"/>
      <c r="F778" s="13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13"/>
      <c r="B779" s="13"/>
      <c r="C779" s="13"/>
      <c r="D779" s="13"/>
      <c r="E779" s="13"/>
      <c r="F779" s="13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13"/>
      <c r="B780" s="13"/>
      <c r="C780" s="13"/>
      <c r="D780" s="13"/>
      <c r="E780" s="13"/>
      <c r="F780" s="13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13"/>
      <c r="B781" s="13"/>
      <c r="C781" s="13"/>
      <c r="D781" s="13"/>
      <c r="E781" s="13"/>
      <c r="F781" s="13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13"/>
      <c r="B782" s="13"/>
      <c r="C782" s="13"/>
      <c r="D782" s="13"/>
      <c r="E782" s="13"/>
      <c r="F782" s="13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13"/>
      <c r="B783" s="13"/>
      <c r="C783" s="13"/>
      <c r="D783" s="13"/>
      <c r="E783" s="13"/>
      <c r="F783" s="13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13"/>
      <c r="B784" s="13"/>
      <c r="C784" s="13"/>
      <c r="D784" s="13"/>
      <c r="E784" s="13"/>
      <c r="F784" s="13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13"/>
      <c r="B785" s="13"/>
      <c r="C785" s="13"/>
      <c r="D785" s="13"/>
      <c r="E785" s="13"/>
      <c r="F785" s="13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13"/>
      <c r="B786" s="13"/>
      <c r="C786" s="13"/>
      <c r="D786" s="13"/>
      <c r="E786" s="13"/>
      <c r="F786" s="13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13"/>
      <c r="B787" s="13"/>
      <c r="C787" s="13"/>
      <c r="D787" s="13"/>
      <c r="E787" s="13"/>
      <c r="F787" s="13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13"/>
      <c r="B788" s="13"/>
      <c r="C788" s="13"/>
      <c r="D788" s="13"/>
      <c r="E788" s="13"/>
      <c r="F788" s="13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13"/>
      <c r="B789" s="13"/>
      <c r="C789" s="13"/>
      <c r="D789" s="13"/>
      <c r="E789" s="13"/>
      <c r="F789" s="13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13"/>
      <c r="B790" s="13"/>
      <c r="C790" s="13"/>
      <c r="D790" s="13"/>
      <c r="E790" s="13"/>
      <c r="F790" s="13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13"/>
      <c r="B791" s="13"/>
      <c r="C791" s="13"/>
      <c r="D791" s="13"/>
      <c r="E791" s="13"/>
      <c r="F791" s="13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13"/>
      <c r="B792" s="13"/>
      <c r="C792" s="13"/>
      <c r="D792" s="13"/>
      <c r="E792" s="13"/>
      <c r="F792" s="13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13"/>
      <c r="B793" s="13"/>
      <c r="C793" s="13"/>
      <c r="D793" s="13"/>
      <c r="E793" s="13"/>
      <c r="F793" s="13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13"/>
      <c r="B794" s="13"/>
      <c r="C794" s="13"/>
      <c r="D794" s="13"/>
      <c r="E794" s="13"/>
      <c r="F794" s="13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13"/>
      <c r="B795" s="13"/>
      <c r="C795" s="13"/>
      <c r="D795" s="13"/>
      <c r="E795" s="13"/>
      <c r="F795" s="13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13"/>
      <c r="B796" s="13"/>
      <c r="C796" s="13"/>
      <c r="D796" s="13"/>
      <c r="E796" s="13"/>
      <c r="F796" s="13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13"/>
      <c r="B797" s="13"/>
      <c r="C797" s="13"/>
      <c r="D797" s="13"/>
      <c r="E797" s="13"/>
      <c r="F797" s="13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13"/>
      <c r="B798" s="13"/>
      <c r="C798" s="13"/>
      <c r="D798" s="13"/>
      <c r="E798" s="13"/>
      <c r="F798" s="13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13"/>
      <c r="B799" s="13"/>
      <c r="C799" s="13"/>
      <c r="D799" s="13"/>
      <c r="E799" s="13"/>
      <c r="F799" s="13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13"/>
      <c r="B800" s="13"/>
      <c r="C800" s="13"/>
      <c r="D800" s="13"/>
      <c r="E800" s="13"/>
      <c r="F800" s="13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13"/>
      <c r="B801" s="13"/>
      <c r="C801" s="13"/>
      <c r="D801" s="13"/>
      <c r="E801" s="13"/>
      <c r="F801" s="13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13"/>
      <c r="B802" s="13"/>
      <c r="C802" s="13"/>
      <c r="D802" s="13"/>
      <c r="E802" s="13"/>
      <c r="F802" s="13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13"/>
      <c r="B803" s="13"/>
      <c r="C803" s="13"/>
      <c r="D803" s="13"/>
      <c r="E803" s="13"/>
      <c r="F803" s="13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13"/>
      <c r="B804" s="13"/>
      <c r="C804" s="13"/>
      <c r="D804" s="13"/>
      <c r="E804" s="13"/>
      <c r="F804" s="13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13"/>
      <c r="B805" s="13"/>
      <c r="C805" s="13"/>
      <c r="D805" s="13"/>
      <c r="E805" s="13"/>
      <c r="F805" s="13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13"/>
      <c r="B806" s="13"/>
      <c r="C806" s="13"/>
      <c r="D806" s="13"/>
      <c r="E806" s="13"/>
      <c r="F806" s="13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13"/>
      <c r="B807" s="13"/>
      <c r="C807" s="13"/>
      <c r="D807" s="13"/>
      <c r="E807" s="13"/>
      <c r="F807" s="13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13"/>
      <c r="B808" s="13"/>
      <c r="C808" s="13"/>
      <c r="D808" s="13"/>
      <c r="E808" s="13"/>
      <c r="F808" s="13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13"/>
      <c r="B809" s="13"/>
      <c r="C809" s="13"/>
      <c r="D809" s="13"/>
      <c r="E809" s="13"/>
      <c r="F809" s="13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13"/>
      <c r="B810" s="13"/>
      <c r="C810" s="13"/>
      <c r="D810" s="13"/>
      <c r="E810" s="13"/>
      <c r="F810" s="13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13"/>
      <c r="B811" s="13"/>
      <c r="C811" s="13"/>
      <c r="D811" s="13"/>
      <c r="E811" s="13"/>
      <c r="F811" s="13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13"/>
      <c r="B812" s="13"/>
      <c r="C812" s="13"/>
      <c r="D812" s="13"/>
      <c r="E812" s="13"/>
      <c r="F812" s="13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13"/>
      <c r="B813" s="13"/>
      <c r="C813" s="13"/>
      <c r="D813" s="13"/>
      <c r="E813" s="13"/>
      <c r="F813" s="13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13"/>
      <c r="B814" s="13"/>
      <c r="C814" s="13"/>
      <c r="D814" s="13"/>
      <c r="E814" s="13"/>
      <c r="F814" s="13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13"/>
      <c r="B815" s="13"/>
      <c r="C815" s="13"/>
      <c r="D815" s="13"/>
      <c r="E815" s="13"/>
      <c r="F815" s="13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13"/>
      <c r="B816" s="13"/>
      <c r="C816" s="13"/>
      <c r="D816" s="13"/>
      <c r="E816" s="13"/>
      <c r="F816" s="13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13"/>
      <c r="B817" s="13"/>
      <c r="C817" s="13"/>
      <c r="D817" s="13"/>
      <c r="E817" s="13"/>
      <c r="F817" s="13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13"/>
      <c r="B818" s="13"/>
      <c r="C818" s="13"/>
      <c r="D818" s="13"/>
      <c r="E818" s="13"/>
      <c r="F818" s="13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13"/>
      <c r="B819" s="13"/>
      <c r="C819" s="13"/>
      <c r="D819" s="13"/>
      <c r="E819" s="13"/>
      <c r="F819" s="13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13"/>
      <c r="B820" s="13"/>
      <c r="C820" s="13"/>
      <c r="D820" s="13"/>
      <c r="E820" s="13"/>
      <c r="F820" s="13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13"/>
      <c r="B821" s="13"/>
      <c r="C821" s="13"/>
      <c r="D821" s="13"/>
      <c r="E821" s="13"/>
      <c r="F821" s="13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13"/>
      <c r="B822" s="13"/>
      <c r="C822" s="13"/>
      <c r="D822" s="13"/>
      <c r="E822" s="13"/>
      <c r="F822" s="13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13"/>
      <c r="B823" s="13"/>
      <c r="C823" s="13"/>
      <c r="D823" s="13"/>
      <c r="E823" s="13"/>
      <c r="F823" s="13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13"/>
      <c r="B824" s="13"/>
      <c r="C824" s="13"/>
      <c r="D824" s="13"/>
      <c r="E824" s="13"/>
      <c r="F824" s="13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13"/>
      <c r="B825" s="13"/>
      <c r="C825" s="13"/>
      <c r="D825" s="13"/>
      <c r="E825" s="13"/>
      <c r="F825" s="13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13"/>
      <c r="B826" s="13"/>
      <c r="C826" s="13"/>
      <c r="D826" s="13"/>
      <c r="E826" s="13"/>
      <c r="F826" s="13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13"/>
      <c r="B827" s="13"/>
      <c r="C827" s="13"/>
      <c r="D827" s="13"/>
      <c r="E827" s="13"/>
      <c r="F827" s="13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13"/>
      <c r="B828" s="13"/>
      <c r="C828" s="13"/>
      <c r="D828" s="13"/>
      <c r="E828" s="13"/>
      <c r="F828" s="13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13"/>
      <c r="B829" s="13"/>
      <c r="C829" s="13"/>
      <c r="D829" s="13"/>
      <c r="E829" s="13"/>
      <c r="F829" s="13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13"/>
      <c r="B830" s="13"/>
      <c r="C830" s="13"/>
      <c r="D830" s="13"/>
      <c r="E830" s="13"/>
      <c r="F830" s="13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13"/>
      <c r="B831" s="13"/>
      <c r="C831" s="13"/>
      <c r="D831" s="13"/>
      <c r="E831" s="13"/>
      <c r="F831" s="13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13"/>
      <c r="B832" s="13"/>
      <c r="C832" s="13"/>
      <c r="D832" s="13"/>
      <c r="E832" s="13"/>
      <c r="F832" s="13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13"/>
      <c r="B833" s="13"/>
      <c r="C833" s="13"/>
      <c r="D833" s="13"/>
      <c r="E833" s="13"/>
      <c r="F833" s="13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13"/>
      <c r="B834" s="13"/>
      <c r="C834" s="13"/>
      <c r="D834" s="13"/>
      <c r="E834" s="13"/>
      <c r="F834" s="13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13"/>
      <c r="B835" s="13"/>
      <c r="C835" s="13"/>
      <c r="D835" s="13"/>
      <c r="E835" s="13"/>
      <c r="F835" s="13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13"/>
      <c r="B836" s="13"/>
      <c r="C836" s="13"/>
      <c r="D836" s="13"/>
      <c r="E836" s="13"/>
      <c r="F836" s="13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13"/>
      <c r="B837" s="13"/>
      <c r="C837" s="13"/>
      <c r="D837" s="13"/>
      <c r="E837" s="13"/>
      <c r="F837" s="13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13"/>
      <c r="B838" s="13"/>
      <c r="C838" s="13"/>
      <c r="D838" s="13"/>
      <c r="E838" s="13"/>
      <c r="F838" s="13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13"/>
      <c r="B839" s="13"/>
      <c r="C839" s="13"/>
      <c r="D839" s="13"/>
      <c r="E839" s="13"/>
      <c r="F839" s="13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13"/>
      <c r="B840" s="13"/>
      <c r="C840" s="13"/>
      <c r="D840" s="13"/>
      <c r="E840" s="13"/>
      <c r="F840" s="13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13"/>
      <c r="B841" s="13"/>
      <c r="C841" s="13"/>
      <c r="D841" s="13"/>
      <c r="E841" s="13"/>
      <c r="F841" s="13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13"/>
      <c r="B842" s="13"/>
      <c r="C842" s="13"/>
      <c r="D842" s="13"/>
      <c r="E842" s="13"/>
      <c r="F842" s="13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13"/>
      <c r="B843" s="13"/>
      <c r="C843" s="13"/>
      <c r="D843" s="13"/>
      <c r="E843" s="13"/>
      <c r="F843" s="13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13"/>
      <c r="B844" s="13"/>
      <c r="C844" s="13"/>
      <c r="D844" s="13"/>
      <c r="E844" s="13"/>
      <c r="F844" s="13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13"/>
      <c r="B845" s="13"/>
      <c r="C845" s="13"/>
      <c r="D845" s="13"/>
      <c r="E845" s="13"/>
      <c r="F845" s="13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13"/>
      <c r="B846" s="13"/>
      <c r="C846" s="13"/>
      <c r="D846" s="13"/>
      <c r="E846" s="13"/>
      <c r="F846" s="13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13"/>
      <c r="B847" s="13"/>
      <c r="C847" s="13"/>
      <c r="D847" s="13"/>
      <c r="E847" s="13"/>
      <c r="F847" s="13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13"/>
      <c r="B848" s="13"/>
      <c r="C848" s="13"/>
      <c r="D848" s="13"/>
      <c r="E848" s="13"/>
      <c r="F848" s="13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13"/>
      <c r="B849" s="13"/>
      <c r="C849" s="13"/>
      <c r="D849" s="13"/>
      <c r="E849" s="13"/>
      <c r="F849" s="13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13"/>
      <c r="B850" s="13"/>
      <c r="C850" s="13"/>
      <c r="D850" s="13"/>
      <c r="E850" s="13"/>
      <c r="F850" s="13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13"/>
      <c r="B851" s="13"/>
      <c r="C851" s="13"/>
      <c r="D851" s="13"/>
      <c r="E851" s="13"/>
      <c r="F851" s="13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13"/>
      <c r="B852" s="13"/>
      <c r="C852" s="13"/>
      <c r="D852" s="13"/>
      <c r="E852" s="13"/>
      <c r="F852" s="13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13"/>
      <c r="B853" s="13"/>
      <c r="C853" s="13"/>
      <c r="D853" s="13"/>
      <c r="E853" s="13"/>
      <c r="F853" s="13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13"/>
      <c r="B854" s="13"/>
      <c r="C854" s="13"/>
      <c r="D854" s="13"/>
      <c r="E854" s="13"/>
      <c r="F854" s="13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13"/>
      <c r="B855" s="13"/>
      <c r="C855" s="13"/>
      <c r="D855" s="13"/>
      <c r="E855" s="13"/>
      <c r="F855" s="13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13"/>
      <c r="B856" s="13"/>
      <c r="C856" s="13"/>
      <c r="D856" s="13"/>
      <c r="E856" s="13"/>
      <c r="F856" s="13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13"/>
      <c r="B857" s="13"/>
      <c r="C857" s="13"/>
      <c r="D857" s="13"/>
      <c r="E857" s="13"/>
      <c r="F857" s="13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13"/>
      <c r="B858" s="13"/>
      <c r="C858" s="13"/>
      <c r="D858" s="13"/>
      <c r="E858" s="13"/>
      <c r="F858" s="13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13"/>
      <c r="B859" s="13"/>
      <c r="C859" s="13"/>
      <c r="D859" s="13"/>
      <c r="E859" s="13"/>
      <c r="F859" s="13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13"/>
      <c r="B860" s="13"/>
      <c r="C860" s="13"/>
      <c r="D860" s="13"/>
      <c r="E860" s="13"/>
      <c r="F860" s="13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13"/>
      <c r="B861" s="13"/>
      <c r="C861" s="13"/>
      <c r="D861" s="13"/>
      <c r="E861" s="13"/>
      <c r="F861" s="13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13"/>
      <c r="B862" s="13"/>
      <c r="C862" s="13"/>
      <c r="D862" s="13"/>
      <c r="E862" s="13"/>
      <c r="F862" s="13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13"/>
      <c r="B863" s="13"/>
      <c r="C863" s="13"/>
      <c r="D863" s="13"/>
      <c r="E863" s="13"/>
      <c r="F863" s="13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13"/>
      <c r="B864" s="13"/>
      <c r="C864" s="13"/>
      <c r="D864" s="13"/>
      <c r="E864" s="13"/>
      <c r="F864" s="13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13"/>
      <c r="B865" s="13"/>
      <c r="C865" s="13"/>
      <c r="D865" s="13"/>
      <c r="E865" s="13"/>
      <c r="F865" s="13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13"/>
      <c r="B866" s="13"/>
      <c r="C866" s="13"/>
      <c r="D866" s="13"/>
      <c r="E866" s="13"/>
      <c r="F866" s="13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13"/>
      <c r="B867" s="13"/>
      <c r="C867" s="13"/>
      <c r="D867" s="13"/>
      <c r="E867" s="13"/>
      <c r="F867" s="13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13"/>
      <c r="B868" s="13"/>
      <c r="C868" s="13"/>
      <c r="D868" s="13"/>
      <c r="E868" s="13"/>
      <c r="F868" s="13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13"/>
      <c r="B869" s="13"/>
      <c r="C869" s="13"/>
      <c r="D869" s="13"/>
      <c r="E869" s="13"/>
      <c r="F869" s="13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13"/>
      <c r="B870" s="13"/>
      <c r="C870" s="13"/>
      <c r="D870" s="13"/>
      <c r="E870" s="13"/>
      <c r="F870" s="13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13"/>
      <c r="B871" s="13"/>
      <c r="C871" s="13"/>
      <c r="D871" s="13"/>
      <c r="E871" s="13"/>
      <c r="F871" s="13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13"/>
      <c r="B872" s="13"/>
      <c r="C872" s="13"/>
      <c r="D872" s="13"/>
      <c r="E872" s="13"/>
      <c r="F872" s="13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13"/>
      <c r="B873" s="13"/>
      <c r="C873" s="13"/>
      <c r="D873" s="13"/>
      <c r="E873" s="13"/>
      <c r="F873" s="13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13"/>
      <c r="B874" s="13"/>
      <c r="C874" s="13"/>
      <c r="D874" s="13"/>
      <c r="E874" s="13"/>
      <c r="F874" s="13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13"/>
      <c r="B875" s="13"/>
      <c r="C875" s="13"/>
      <c r="D875" s="13"/>
      <c r="E875" s="13"/>
      <c r="F875" s="13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13"/>
      <c r="B876" s="13"/>
      <c r="C876" s="13"/>
      <c r="D876" s="13"/>
      <c r="E876" s="13"/>
      <c r="F876" s="13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13"/>
      <c r="B877" s="13"/>
      <c r="C877" s="13"/>
      <c r="D877" s="13"/>
      <c r="E877" s="13"/>
      <c r="F877" s="13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13"/>
      <c r="B878" s="13"/>
      <c r="C878" s="13"/>
      <c r="D878" s="13"/>
      <c r="E878" s="13"/>
      <c r="F878" s="13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13"/>
      <c r="B879" s="13"/>
      <c r="C879" s="13"/>
      <c r="D879" s="13"/>
      <c r="E879" s="13"/>
      <c r="F879" s="13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13"/>
      <c r="B880" s="13"/>
      <c r="C880" s="13"/>
      <c r="D880" s="13"/>
      <c r="E880" s="13"/>
      <c r="F880" s="13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13"/>
      <c r="B881" s="13"/>
      <c r="C881" s="13"/>
      <c r="D881" s="13"/>
      <c r="E881" s="13"/>
      <c r="F881" s="13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13"/>
      <c r="B882" s="13"/>
      <c r="C882" s="13"/>
      <c r="D882" s="13"/>
      <c r="E882" s="13"/>
      <c r="F882" s="13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13"/>
      <c r="B883" s="13"/>
      <c r="C883" s="13"/>
      <c r="D883" s="13"/>
      <c r="E883" s="13"/>
      <c r="F883" s="13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13"/>
      <c r="B884" s="13"/>
      <c r="C884" s="13"/>
      <c r="D884" s="13"/>
      <c r="E884" s="13"/>
      <c r="F884" s="13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13"/>
      <c r="B885" s="13"/>
      <c r="C885" s="13"/>
      <c r="D885" s="13"/>
      <c r="E885" s="13"/>
      <c r="F885" s="13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13"/>
      <c r="B886" s="13"/>
      <c r="C886" s="13"/>
      <c r="D886" s="13"/>
      <c r="E886" s="13"/>
      <c r="F886" s="13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13"/>
      <c r="B887" s="13"/>
      <c r="C887" s="13"/>
      <c r="D887" s="13"/>
      <c r="E887" s="13"/>
      <c r="F887" s="13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13"/>
      <c r="B888" s="13"/>
      <c r="C888" s="13"/>
      <c r="D888" s="13"/>
      <c r="E888" s="13"/>
      <c r="F888" s="13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13"/>
      <c r="B889" s="13"/>
      <c r="C889" s="13"/>
      <c r="D889" s="13"/>
      <c r="E889" s="13"/>
      <c r="F889" s="13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13"/>
      <c r="B890" s="13"/>
      <c r="C890" s="13"/>
      <c r="D890" s="13"/>
      <c r="E890" s="13"/>
      <c r="F890" s="13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13"/>
      <c r="B891" s="13"/>
      <c r="C891" s="13"/>
      <c r="D891" s="13"/>
      <c r="E891" s="13"/>
      <c r="F891" s="13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13"/>
      <c r="B892" s="13"/>
      <c r="C892" s="13"/>
      <c r="D892" s="13"/>
      <c r="E892" s="13"/>
      <c r="F892" s="13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13"/>
      <c r="B893" s="13"/>
      <c r="C893" s="13"/>
      <c r="D893" s="13"/>
      <c r="E893" s="13"/>
      <c r="F893" s="13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13"/>
      <c r="B894" s="13"/>
      <c r="C894" s="13"/>
      <c r="D894" s="13"/>
      <c r="E894" s="13"/>
      <c r="F894" s="13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13"/>
      <c r="B895" s="13"/>
      <c r="C895" s="13"/>
      <c r="D895" s="13"/>
      <c r="E895" s="13"/>
      <c r="F895" s="13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13"/>
      <c r="B896" s="13"/>
      <c r="C896" s="13"/>
      <c r="D896" s="13"/>
      <c r="E896" s="13"/>
      <c r="F896" s="13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13"/>
      <c r="B897" s="13"/>
      <c r="C897" s="13"/>
      <c r="D897" s="13"/>
      <c r="E897" s="13"/>
      <c r="F897" s="13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13"/>
      <c r="B898" s="13"/>
      <c r="C898" s="13"/>
      <c r="D898" s="13"/>
      <c r="E898" s="13"/>
      <c r="F898" s="13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13"/>
      <c r="B899" s="13"/>
      <c r="C899" s="13"/>
      <c r="D899" s="13"/>
      <c r="E899" s="13"/>
      <c r="F899" s="13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13"/>
      <c r="B900" s="13"/>
      <c r="C900" s="13"/>
      <c r="D900" s="13"/>
      <c r="E900" s="13"/>
      <c r="F900" s="13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13"/>
      <c r="B901" s="13"/>
      <c r="C901" s="13"/>
      <c r="D901" s="13"/>
      <c r="E901" s="13"/>
      <c r="F901" s="13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13"/>
      <c r="B902" s="13"/>
      <c r="C902" s="13"/>
      <c r="D902" s="13"/>
      <c r="E902" s="13"/>
      <c r="F902" s="13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13"/>
      <c r="B903" s="13"/>
      <c r="C903" s="13"/>
      <c r="D903" s="13"/>
      <c r="E903" s="13"/>
      <c r="F903" s="13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13"/>
      <c r="B904" s="13"/>
      <c r="C904" s="13"/>
      <c r="D904" s="13"/>
      <c r="E904" s="13"/>
      <c r="F904" s="13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13"/>
      <c r="B905" s="13"/>
      <c r="C905" s="13"/>
      <c r="D905" s="13"/>
      <c r="E905" s="13"/>
      <c r="F905" s="13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13"/>
      <c r="B906" s="13"/>
      <c r="C906" s="13"/>
      <c r="D906" s="13"/>
      <c r="E906" s="13"/>
      <c r="F906" s="13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13"/>
      <c r="B907" s="13"/>
      <c r="C907" s="13"/>
      <c r="D907" s="13"/>
      <c r="E907" s="13"/>
      <c r="F907" s="13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13"/>
      <c r="B908" s="13"/>
      <c r="C908" s="13"/>
      <c r="D908" s="13"/>
      <c r="E908" s="13"/>
      <c r="F908" s="13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13"/>
      <c r="B909" s="13"/>
      <c r="C909" s="13"/>
      <c r="D909" s="13"/>
      <c r="E909" s="13"/>
      <c r="F909" s="13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13"/>
      <c r="B910" s="13"/>
      <c r="C910" s="13"/>
      <c r="D910" s="13"/>
      <c r="E910" s="13"/>
      <c r="F910" s="13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13"/>
      <c r="B911" s="13"/>
      <c r="C911" s="13"/>
      <c r="D911" s="13"/>
      <c r="E911" s="13"/>
      <c r="F911" s="13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13"/>
      <c r="B912" s="13"/>
      <c r="C912" s="13"/>
      <c r="D912" s="13"/>
      <c r="E912" s="13"/>
      <c r="F912" s="13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13"/>
      <c r="B913" s="13"/>
      <c r="C913" s="13"/>
      <c r="D913" s="13"/>
      <c r="E913" s="13"/>
      <c r="F913" s="13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13"/>
      <c r="B914" s="13"/>
      <c r="C914" s="13"/>
      <c r="D914" s="13"/>
      <c r="E914" s="13"/>
      <c r="F914" s="13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13"/>
      <c r="B915" s="13"/>
      <c r="C915" s="13"/>
      <c r="D915" s="13"/>
      <c r="E915" s="13"/>
      <c r="F915" s="13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13"/>
      <c r="B916" s="13"/>
      <c r="C916" s="13"/>
      <c r="D916" s="13"/>
      <c r="E916" s="13"/>
      <c r="F916" s="13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13"/>
      <c r="B917" s="13"/>
      <c r="C917" s="13"/>
      <c r="D917" s="13"/>
      <c r="E917" s="13"/>
      <c r="F917" s="13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13"/>
      <c r="B918" s="13"/>
      <c r="C918" s="13"/>
      <c r="D918" s="13"/>
      <c r="E918" s="13"/>
      <c r="F918" s="13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13"/>
      <c r="B919" s="13"/>
      <c r="C919" s="13"/>
      <c r="D919" s="13"/>
      <c r="E919" s="13"/>
      <c r="F919" s="13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13"/>
      <c r="B920" s="13"/>
      <c r="C920" s="13"/>
      <c r="D920" s="13"/>
      <c r="E920" s="13"/>
      <c r="F920" s="13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13"/>
      <c r="B921" s="13"/>
      <c r="C921" s="13"/>
      <c r="D921" s="13"/>
      <c r="E921" s="13"/>
      <c r="F921" s="13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13"/>
      <c r="B922" s="13"/>
      <c r="C922" s="13"/>
      <c r="D922" s="13"/>
      <c r="E922" s="13"/>
      <c r="F922" s="13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13"/>
      <c r="B923" s="13"/>
      <c r="C923" s="13"/>
      <c r="D923" s="13"/>
      <c r="E923" s="13"/>
      <c r="F923" s="13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13"/>
      <c r="B924" s="13"/>
      <c r="C924" s="13"/>
      <c r="D924" s="13"/>
      <c r="E924" s="13"/>
      <c r="F924" s="13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13"/>
      <c r="B925" s="13"/>
      <c r="C925" s="13"/>
      <c r="D925" s="13"/>
      <c r="E925" s="13"/>
      <c r="F925" s="13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13"/>
      <c r="B926" s="13"/>
      <c r="C926" s="13"/>
      <c r="D926" s="13"/>
      <c r="E926" s="13"/>
      <c r="F926" s="13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13"/>
      <c r="B927" s="13"/>
      <c r="C927" s="13"/>
      <c r="D927" s="13"/>
      <c r="E927" s="13"/>
      <c r="F927" s="13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13"/>
      <c r="B928" s="13"/>
      <c r="C928" s="13"/>
      <c r="D928" s="13"/>
      <c r="E928" s="13"/>
      <c r="F928" s="13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13"/>
      <c r="B929" s="13"/>
      <c r="C929" s="13"/>
      <c r="D929" s="13"/>
      <c r="E929" s="13"/>
      <c r="F929" s="13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13"/>
      <c r="B930" s="13"/>
      <c r="C930" s="13"/>
      <c r="D930" s="13"/>
      <c r="E930" s="13"/>
      <c r="F930" s="13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13"/>
      <c r="B931" s="13"/>
      <c r="C931" s="13"/>
      <c r="D931" s="13"/>
      <c r="E931" s="13"/>
      <c r="F931" s="13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13"/>
      <c r="B932" s="13"/>
      <c r="C932" s="13"/>
      <c r="D932" s="13"/>
      <c r="E932" s="13"/>
      <c r="F932" s="13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13"/>
      <c r="B933" s="13"/>
      <c r="C933" s="13"/>
      <c r="D933" s="13"/>
      <c r="E933" s="13"/>
      <c r="F933" s="13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13"/>
      <c r="B934" s="13"/>
      <c r="C934" s="13"/>
      <c r="D934" s="13"/>
      <c r="E934" s="13"/>
      <c r="F934" s="13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13"/>
      <c r="B935" s="13"/>
      <c r="C935" s="13"/>
      <c r="D935" s="13"/>
      <c r="E935" s="13"/>
      <c r="F935" s="13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13"/>
      <c r="B936" s="13"/>
      <c r="C936" s="13"/>
      <c r="D936" s="13"/>
      <c r="E936" s="13"/>
      <c r="F936" s="13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13"/>
      <c r="B937" s="13"/>
      <c r="C937" s="13"/>
      <c r="D937" s="13"/>
      <c r="E937" s="13"/>
      <c r="F937" s="13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13"/>
      <c r="B938" s="13"/>
      <c r="C938" s="13"/>
      <c r="D938" s="13"/>
      <c r="E938" s="13"/>
      <c r="F938" s="13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13"/>
      <c r="B939" s="13"/>
      <c r="C939" s="13"/>
      <c r="D939" s="13"/>
      <c r="E939" s="13"/>
      <c r="F939" s="13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13"/>
      <c r="B940" s="13"/>
      <c r="C940" s="13"/>
      <c r="D940" s="13"/>
      <c r="E940" s="13"/>
      <c r="F940" s="13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13"/>
      <c r="B941" s="13"/>
      <c r="C941" s="13"/>
      <c r="D941" s="13"/>
      <c r="E941" s="13"/>
      <c r="F941" s="13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13"/>
      <c r="B942" s="13"/>
      <c r="C942" s="13"/>
      <c r="D942" s="13"/>
      <c r="E942" s="13"/>
      <c r="F942" s="13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13"/>
      <c r="B943" s="13"/>
      <c r="C943" s="13"/>
      <c r="D943" s="13"/>
      <c r="E943" s="13"/>
      <c r="F943" s="13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13"/>
      <c r="B944" s="13"/>
      <c r="C944" s="13"/>
      <c r="D944" s="13"/>
      <c r="E944" s="13"/>
      <c r="F944" s="13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13"/>
      <c r="B945" s="13"/>
      <c r="C945" s="13"/>
      <c r="D945" s="13"/>
      <c r="E945" s="13"/>
      <c r="F945" s="13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13"/>
      <c r="B946" s="13"/>
      <c r="C946" s="13"/>
      <c r="D946" s="13"/>
      <c r="E946" s="13"/>
      <c r="F946" s="13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13"/>
      <c r="B947" s="13"/>
      <c r="C947" s="13"/>
      <c r="D947" s="13"/>
      <c r="E947" s="13"/>
      <c r="F947" s="13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13"/>
      <c r="B948" s="13"/>
      <c r="C948" s="13"/>
      <c r="D948" s="13"/>
      <c r="E948" s="13"/>
      <c r="F948" s="13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13"/>
      <c r="B949" s="13"/>
      <c r="C949" s="13"/>
      <c r="D949" s="13"/>
      <c r="E949" s="13"/>
      <c r="F949" s="13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13"/>
      <c r="B950" s="13"/>
      <c r="C950" s="13"/>
      <c r="D950" s="13"/>
      <c r="E950" s="13"/>
      <c r="F950" s="13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13"/>
      <c r="B951" s="13"/>
      <c r="C951" s="13"/>
      <c r="D951" s="13"/>
      <c r="E951" s="13"/>
      <c r="F951" s="13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13"/>
      <c r="B952" s="13"/>
      <c r="C952" s="13"/>
      <c r="D952" s="13"/>
      <c r="E952" s="13"/>
      <c r="F952" s="13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13"/>
      <c r="B953" s="13"/>
      <c r="C953" s="13"/>
      <c r="D953" s="13"/>
      <c r="E953" s="13"/>
      <c r="F953" s="13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13"/>
      <c r="B954" s="13"/>
      <c r="C954" s="13"/>
      <c r="D954" s="13"/>
      <c r="E954" s="13"/>
      <c r="F954" s="13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13"/>
      <c r="B955" s="13"/>
      <c r="C955" s="13"/>
      <c r="D955" s="13"/>
      <c r="E955" s="13"/>
      <c r="F955" s="13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13"/>
      <c r="B956" s="13"/>
      <c r="C956" s="13"/>
      <c r="D956" s="13"/>
      <c r="E956" s="13"/>
      <c r="F956" s="13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13"/>
      <c r="B957" s="13"/>
      <c r="C957" s="13"/>
      <c r="D957" s="13"/>
      <c r="E957" s="13"/>
      <c r="F957" s="13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13"/>
      <c r="B958" s="13"/>
      <c r="C958" s="13"/>
      <c r="D958" s="13"/>
      <c r="E958" s="13"/>
      <c r="F958" s="13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13"/>
      <c r="B959" s="13"/>
      <c r="C959" s="13"/>
      <c r="D959" s="13"/>
      <c r="E959" s="13"/>
      <c r="F959" s="13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13"/>
      <c r="B960" s="13"/>
      <c r="C960" s="13"/>
      <c r="D960" s="13"/>
      <c r="E960" s="13"/>
      <c r="F960" s="13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13"/>
      <c r="B961" s="13"/>
      <c r="C961" s="13"/>
      <c r="D961" s="13"/>
      <c r="E961" s="13"/>
      <c r="F961" s="13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13"/>
      <c r="B962" s="13"/>
      <c r="C962" s="13"/>
      <c r="D962" s="13"/>
      <c r="E962" s="13"/>
      <c r="F962" s="13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13"/>
      <c r="B963" s="13"/>
      <c r="C963" s="13"/>
      <c r="D963" s="13"/>
      <c r="E963" s="13"/>
      <c r="F963" s="13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13"/>
      <c r="B964" s="13"/>
      <c r="C964" s="13"/>
      <c r="D964" s="13"/>
      <c r="E964" s="13"/>
      <c r="F964" s="13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13"/>
      <c r="B965" s="13"/>
      <c r="C965" s="13"/>
      <c r="D965" s="13"/>
      <c r="E965" s="13"/>
      <c r="F965" s="13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13"/>
      <c r="B966" s="13"/>
      <c r="C966" s="13"/>
      <c r="D966" s="13"/>
      <c r="E966" s="13"/>
      <c r="F966" s="13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13"/>
      <c r="B967" s="13"/>
      <c r="C967" s="13"/>
      <c r="D967" s="13"/>
      <c r="E967" s="13"/>
      <c r="F967" s="13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13"/>
      <c r="B968" s="13"/>
      <c r="C968" s="13"/>
      <c r="D968" s="13"/>
      <c r="E968" s="13"/>
      <c r="F968" s="13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13"/>
      <c r="B969" s="13"/>
      <c r="C969" s="13"/>
      <c r="D969" s="13"/>
      <c r="E969" s="13"/>
      <c r="F969" s="13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13"/>
      <c r="B970" s="13"/>
      <c r="C970" s="13"/>
      <c r="D970" s="13"/>
      <c r="E970" s="13"/>
      <c r="F970" s="13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13"/>
      <c r="B971" s="13"/>
      <c r="C971" s="13"/>
      <c r="D971" s="13"/>
      <c r="E971" s="13"/>
      <c r="F971" s="13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13"/>
      <c r="B972" s="13"/>
      <c r="C972" s="13"/>
      <c r="D972" s="13"/>
      <c r="E972" s="13"/>
      <c r="F972" s="13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13"/>
      <c r="B973" s="13"/>
      <c r="C973" s="13"/>
      <c r="D973" s="13"/>
      <c r="E973" s="13"/>
      <c r="F973" s="13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13"/>
      <c r="B974" s="13"/>
      <c r="C974" s="13"/>
      <c r="D974" s="13"/>
      <c r="E974" s="13"/>
      <c r="F974" s="13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13"/>
      <c r="B975" s="13"/>
      <c r="C975" s="13"/>
      <c r="D975" s="13"/>
      <c r="E975" s="13"/>
      <c r="F975" s="13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13"/>
      <c r="B976" s="13"/>
      <c r="C976" s="13"/>
      <c r="D976" s="13"/>
      <c r="E976" s="13"/>
      <c r="F976" s="13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13"/>
      <c r="B977" s="13"/>
      <c r="C977" s="13"/>
      <c r="D977" s="13"/>
      <c r="E977" s="13"/>
      <c r="F977" s="13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13"/>
      <c r="B978" s="13"/>
      <c r="C978" s="13"/>
      <c r="D978" s="13"/>
      <c r="E978" s="13"/>
      <c r="F978" s="13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13"/>
      <c r="B979" s="13"/>
      <c r="C979" s="13"/>
      <c r="D979" s="13"/>
      <c r="E979" s="13"/>
      <c r="F979" s="13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13"/>
      <c r="B980" s="13"/>
      <c r="C980" s="13"/>
      <c r="D980" s="13"/>
      <c r="E980" s="13"/>
      <c r="F980" s="13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13"/>
      <c r="B981" s="13"/>
      <c r="C981" s="13"/>
      <c r="D981" s="13"/>
      <c r="E981" s="13"/>
      <c r="F981" s="13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13"/>
      <c r="B982" s="13"/>
      <c r="C982" s="13"/>
      <c r="D982" s="13"/>
      <c r="E982" s="13"/>
      <c r="F982" s="13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13"/>
      <c r="B983" s="13"/>
      <c r="C983" s="13"/>
      <c r="D983" s="13"/>
      <c r="E983" s="13"/>
      <c r="F983" s="13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13"/>
      <c r="B984" s="13"/>
      <c r="C984" s="13"/>
      <c r="D984" s="13"/>
      <c r="E984" s="13"/>
      <c r="F984" s="13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13"/>
      <c r="B985" s="13"/>
      <c r="C985" s="13"/>
      <c r="D985" s="13"/>
      <c r="E985" s="13"/>
      <c r="F985" s="13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13"/>
      <c r="B986" s="13"/>
      <c r="C986" s="13"/>
      <c r="D986" s="13"/>
      <c r="E986" s="13"/>
      <c r="F986" s="13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13"/>
      <c r="B987" s="13"/>
      <c r="C987" s="13"/>
      <c r="D987" s="13"/>
      <c r="E987" s="13"/>
      <c r="F987" s="13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13"/>
      <c r="B988" s="13"/>
      <c r="C988" s="13"/>
      <c r="D988" s="13"/>
      <c r="E988" s="13"/>
      <c r="F988" s="13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13"/>
      <c r="B989" s="13"/>
      <c r="C989" s="13"/>
      <c r="D989" s="13"/>
      <c r="E989" s="13"/>
      <c r="F989" s="13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13"/>
      <c r="B990" s="13"/>
      <c r="C990" s="13"/>
      <c r="D990" s="13"/>
      <c r="E990" s="13"/>
      <c r="F990" s="13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13"/>
      <c r="B991" s="13"/>
      <c r="C991" s="13"/>
      <c r="D991" s="13"/>
      <c r="E991" s="13"/>
      <c r="F991" s="13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13"/>
      <c r="B992" s="13"/>
      <c r="C992" s="13"/>
      <c r="D992" s="13"/>
      <c r="E992" s="13"/>
      <c r="F992" s="13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13"/>
      <c r="B993" s="13"/>
      <c r="C993" s="13"/>
      <c r="D993" s="13"/>
      <c r="E993" s="13"/>
      <c r="F993" s="13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13"/>
      <c r="B994" s="13"/>
      <c r="C994" s="13"/>
      <c r="D994" s="13"/>
      <c r="E994" s="13"/>
      <c r="F994" s="13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13"/>
      <c r="B995" s="13"/>
      <c r="C995" s="13"/>
      <c r="D995" s="13"/>
      <c r="E995" s="13"/>
      <c r="F995" s="13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13"/>
      <c r="B996" s="13"/>
      <c r="C996" s="13"/>
      <c r="D996" s="13"/>
      <c r="E996" s="13"/>
      <c r="F996" s="13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13"/>
      <c r="B997" s="13"/>
      <c r="C997" s="13"/>
      <c r="D997" s="13"/>
      <c r="E997" s="13"/>
      <c r="F997" s="13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13"/>
      <c r="B998" s="13"/>
      <c r="C998" s="13"/>
      <c r="D998" s="13"/>
      <c r="E998" s="13"/>
      <c r="F998" s="13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13"/>
      <c r="B999" s="13"/>
      <c r="C999" s="13"/>
      <c r="D999" s="13"/>
      <c r="E999" s="13"/>
      <c r="F999" s="13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13"/>
      <c r="B1000" s="13"/>
      <c r="C1000" s="13"/>
      <c r="D1000" s="13"/>
      <c r="E1000" s="13"/>
      <c r="F1000" s="13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8">
    <mergeCell ref="A1:F1"/>
    <mergeCell ref="A2:B2"/>
    <mergeCell ref="C2:F2"/>
    <mergeCell ref="A3:B3"/>
    <mergeCell ref="C3:F3"/>
    <mergeCell ref="A4:B4"/>
    <mergeCell ref="C4:F4"/>
    <mergeCell ref="A9:B9"/>
    <mergeCell ref="A10:B10"/>
    <mergeCell ref="A11:B11"/>
    <mergeCell ref="A12:B12"/>
    <mergeCell ref="A13:B13"/>
    <mergeCell ref="A14:B14"/>
    <mergeCell ref="C10:F10"/>
    <mergeCell ref="C11:F11"/>
    <mergeCell ref="C12:F12"/>
    <mergeCell ref="C13:F13"/>
    <mergeCell ref="C14:F14"/>
    <mergeCell ref="C15:F15"/>
    <mergeCell ref="A17:F17"/>
    <mergeCell ref="A19:F19"/>
    <mergeCell ref="A6:B6"/>
    <mergeCell ref="C6:F6"/>
    <mergeCell ref="A7:B7"/>
    <mergeCell ref="C7:F7"/>
    <mergeCell ref="A8:B8"/>
    <mergeCell ref="C8:F8"/>
    <mergeCell ref="C9:F9"/>
  </mergeCells>
  <printOptions horizontalCentered="1" verticalCentered="1"/>
  <pageMargins bottom="0.15748031496062992" footer="0.0" header="0.0" left="0.2362204724409449" right="0.2362204724409449" top="0.1968503937007874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99"/>
    <pageSetUpPr/>
  </sheetPr>
  <sheetViews>
    <sheetView showGridLines="0" workbookViewId="0"/>
  </sheetViews>
  <sheetFormatPr customHeight="1" defaultColWidth="12.63" defaultRowHeight="15.0"/>
  <cols>
    <col customWidth="1" min="1" max="2" width="1.75"/>
    <col customWidth="1" min="3" max="3" width="5.75"/>
    <col customWidth="1" min="4" max="5" width="1.75"/>
    <col customWidth="1" min="6" max="15" width="4.25"/>
    <col customWidth="1" min="16" max="16" width="10.13"/>
    <col customWidth="1" min="17" max="17" width="6.25"/>
    <col customWidth="1" min="18" max="21" width="5.63"/>
    <col customWidth="1" min="22" max="22" width="7.0"/>
    <col customWidth="1" min="23" max="24" width="1.75"/>
    <col customWidth="1" min="25" max="25" width="4.75"/>
    <col customWidth="1" min="26" max="26" width="6.38"/>
  </cols>
  <sheetData>
    <row r="1" ht="21.75" customHeight="1">
      <c r="A1" s="126"/>
      <c r="B1" s="127"/>
      <c r="C1" s="128"/>
      <c r="D1" s="128"/>
      <c r="E1" s="128"/>
      <c r="F1" s="129"/>
      <c r="G1" s="129"/>
      <c r="H1" s="128"/>
      <c r="I1" s="130" t="s">
        <v>146</v>
      </c>
      <c r="J1" s="131"/>
      <c r="K1" s="131"/>
      <c r="L1" s="131"/>
      <c r="M1" s="131"/>
      <c r="N1" s="131"/>
      <c r="O1" s="131"/>
      <c r="P1" s="131"/>
      <c r="Q1" s="132"/>
      <c r="R1" s="133" t="s">
        <v>147</v>
      </c>
      <c r="S1" s="131"/>
      <c r="T1" s="131"/>
      <c r="U1" s="131"/>
      <c r="V1" s="131"/>
      <c r="W1" s="132"/>
      <c r="X1" s="134"/>
      <c r="Y1" s="126"/>
      <c r="Z1" s="126"/>
    </row>
    <row r="2" ht="21.75" customHeight="1">
      <c r="A2" s="126"/>
      <c r="B2" s="135"/>
      <c r="C2" s="126"/>
      <c r="D2" s="126"/>
      <c r="E2" s="136"/>
      <c r="F2" s="136"/>
      <c r="G2" s="136"/>
      <c r="H2" s="137"/>
      <c r="Q2" s="138"/>
      <c r="W2" s="138"/>
      <c r="X2" s="134"/>
      <c r="Y2" s="126"/>
      <c r="Z2" s="126"/>
    </row>
    <row r="3" ht="21.75" customHeight="1">
      <c r="A3" s="126"/>
      <c r="B3" s="139"/>
      <c r="C3" s="140"/>
      <c r="D3" s="140"/>
      <c r="E3" s="141"/>
      <c r="F3" s="141"/>
      <c r="G3" s="141"/>
      <c r="H3" s="142"/>
      <c r="I3" s="143"/>
      <c r="J3" s="143"/>
      <c r="K3" s="143"/>
      <c r="L3" s="143"/>
      <c r="M3" s="143"/>
      <c r="N3" s="143"/>
      <c r="O3" s="143"/>
      <c r="P3" s="143"/>
      <c r="Q3" s="144"/>
      <c r="R3" s="143"/>
      <c r="S3" s="143"/>
      <c r="T3" s="143"/>
      <c r="U3" s="143"/>
      <c r="V3" s="143"/>
      <c r="W3" s="144"/>
      <c r="X3" s="134"/>
      <c r="Y3" s="126"/>
      <c r="Z3" s="126"/>
    </row>
    <row r="4" ht="4.5" customHeight="1">
      <c r="A4" s="126"/>
      <c r="B4" s="127"/>
      <c r="C4" s="128"/>
      <c r="D4" s="128"/>
      <c r="E4" s="129"/>
      <c r="F4" s="129"/>
      <c r="G4" s="129"/>
      <c r="H4" s="145"/>
      <c r="I4" s="145"/>
      <c r="J4" s="145"/>
      <c r="K4" s="145"/>
      <c r="L4" s="145"/>
      <c r="M4" s="145"/>
      <c r="N4" s="145"/>
      <c r="O4" s="145"/>
      <c r="P4" s="145"/>
      <c r="Q4" s="146"/>
      <c r="R4" s="146"/>
      <c r="S4" s="146"/>
      <c r="T4" s="146"/>
      <c r="U4" s="146"/>
      <c r="V4" s="146"/>
      <c r="W4" s="147"/>
      <c r="X4" s="148"/>
      <c r="Y4" s="126"/>
      <c r="Z4" s="126"/>
    </row>
    <row r="5" ht="21.75" customHeight="1">
      <c r="A5" s="126"/>
      <c r="B5" s="135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49" t="s">
        <v>148</v>
      </c>
      <c r="T5" s="150">
        <v>46021.0</v>
      </c>
      <c r="U5" s="151"/>
      <c r="V5" s="151"/>
      <c r="W5" s="152"/>
      <c r="X5" s="126"/>
      <c r="Y5" s="126"/>
      <c r="Z5" s="126"/>
    </row>
    <row r="6" ht="21.75" customHeight="1">
      <c r="A6" s="126"/>
      <c r="B6" s="135"/>
      <c r="C6" s="126" t="s">
        <v>149</v>
      </c>
      <c r="D6" s="126"/>
      <c r="E6" s="126"/>
      <c r="F6" s="126"/>
      <c r="G6" s="153" t="s">
        <v>150</v>
      </c>
      <c r="H6" s="153"/>
      <c r="I6" s="153"/>
      <c r="J6" s="153"/>
      <c r="K6" s="153"/>
      <c r="L6" s="153"/>
      <c r="M6" s="153"/>
      <c r="N6" s="153"/>
      <c r="O6" s="153"/>
      <c r="P6" s="153"/>
      <c r="Q6" s="126"/>
      <c r="R6" s="126"/>
      <c r="S6" s="149" t="s">
        <v>151</v>
      </c>
      <c r="T6" s="154">
        <v>1234567.0</v>
      </c>
      <c r="U6" s="155"/>
      <c r="V6" s="155"/>
      <c r="W6" s="152"/>
      <c r="X6" s="126"/>
      <c r="Y6" s="126"/>
      <c r="Z6" s="126"/>
    </row>
    <row r="7" ht="21.75" customHeight="1">
      <c r="A7" s="126"/>
      <c r="B7" s="135"/>
      <c r="C7" s="126" t="s">
        <v>152</v>
      </c>
      <c r="D7" s="126"/>
      <c r="E7" s="126"/>
      <c r="F7" s="156" t="s">
        <v>153</v>
      </c>
      <c r="G7" s="151"/>
      <c r="H7" s="151"/>
      <c r="I7" s="151"/>
      <c r="J7" s="151"/>
      <c r="K7" s="126"/>
      <c r="L7" s="157" t="s">
        <v>154</v>
      </c>
      <c r="M7" s="150" t="s">
        <v>155</v>
      </c>
      <c r="N7" s="151"/>
      <c r="O7" s="151"/>
      <c r="P7" s="151"/>
      <c r="Q7" s="151"/>
      <c r="R7" s="151"/>
      <c r="S7" s="151"/>
      <c r="T7" s="151"/>
      <c r="U7" s="151"/>
      <c r="V7" s="151"/>
      <c r="W7" s="152"/>
      <c r="X7" s="126"/>
      <c r="Y7" s="126"/>
      <c r="Z7" s="126"/>
    </row>
    <row r="8" ht="21.75" customHeight="1">
      <c r="A8" s="126"/>
      <c r="B8" s="135"/>
      <c r="C8" s="126" t="s">
        <v>156</v>
      </c>
      <c r="D8" s="156" t="s">
        <v>157</v>
      </c>
      <c r="E8" s="151"/>
      <c r="F8" s="151"/>
      <c r="G8" s="126"/>
      <c r="H8" s="126"/>
      <c r="I8" s="126"/>
      <c r="J8" s="126"/>
      <c r="K8" s="149" t="s">
        <v>158</v>
      </c>
      <c r="L8" s="153"/>
      <c r="M8" s="153" t="s">
        <v>159</v>
      </c>
      <c r="N8" s="158"/>
      <c r="O8" s="158"/>
      <c r="P8" s="158"/>
      <c r="Q8" s="158"/>
      <c r="R8" s="158"/>
      <c r="S8" s="158"/>
      <c r="T8" s="158"/>
      <c r="U8" s="158"/>
      <c r="V8" s="158"/>
      <c r="W8" s="152"/>
      <c r="X8" s="126"/>
      <c r="Y8" s="126"/>
      <c r="Z8" s="126"/>
    </row>
    <row r="9" ht="9.75" customHeight="1">
      <c r="A9" s="126"/>
      <c r="B9" s="139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59"/>
      <c r="R9" s="140"/>
      <c r="S9" s="140"/>
      <c r="T9" s="140"/>
      <c r="U9" s="140"/>
      <c r="V9" s="140"/>
      <c r="W9" s="160"/>
      <c r="X9" s="126"/>
      <c r="Y9" s="126"/>
      <c r="Z9" s="126"/>
    </row>
    <row r="10" ht="9.75" customHeight="1">
      <c r="A10" s="126"/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61"/>
      <c r="R10" s="128"/>
      <c r="S10" s="128"/>
      <c r="T10" s="128"/>
      <c r="U10" s="128"/>
      <c r="V10" s="128"/>
      <c r="W10" s="162"/>
      <c r="X10" s="126"/>
      <c r="Y10" s="126"/>
      <c r="Z10" s="126"/>
    </row>
    <row r="11" ht="18.75" customHeight="1">
      <c r="A11" s="163"/>
      <c r="B11" s="164"/>
      <c r="C11" s="165" t="s">
        <v>160</v>
      </c>
      <c r="D11" s="166" t="s">
        <v>161</v>
      </c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8"/>
      <c r="Q11" s="169" t="s">
        <v>162</v>
      </c>
      <c r="R11" s="170" t="s">
        <v>163</v>
      </c>
      <c r="S11" s="2"/>
      <c r="T11" s="2"/>
      <c r="U11" s="2"/>
      <c r="V11" s="3"/>
      <c r="W11" s="171"/>
      <c r="X11" s="163"/>
      <c r="Y11" s="163"/>
      <c r="Z11" s="163"/>
    </row>
    <row r="12" ht="18.75" customHeight="1">
      <c r="A12" s="163"/>
      <c r="B12" s="172"/>
      <c r="C12" s="68"/>
      <c r="D12" s="66"/>
      <c r="P12" s="67"/>
      <c r="Q12" s="68"/>
      <c r="R12" s="173" t="s">
        <v>164</v>
      </c>
      <c r="S12" s="173" t="s">
        <v>165</v>
      </c>
      <c r="T12" s="173" t="s">
        <v>166</v>
      </c>
      <c r="U12" s="173" t="s">
        <v>167</v>
      </c>
      <c r="V12" s="173" t="s">
        <v>168</v>
      </c>
      <c r="W12" s="171"/>
      <c r="X12" s="163"/>
      <c r="Y12" s="163"/>
      <c r="Z12" s="163"/>
    </row>
    <row r="13" ht="18.0" customHeight="1">
      <c r="A13" s="163"/>
      <c r="B13" s="172"/>
      <c r="C13" s="73"/>
      <c r="D13" s="70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2"/>
      <c r="Q13" s="73"/>
      <c r="R13" s="173">
        <v>1.0</v>
      </c>
      <c r="S13" s="173">
        <v>2.0</v>
      </c>
      <c r="T13" s="173">
        <v>3.0</v>
      </c>
      <c r="U13" s="173">
        <v>4.0</v>
      </c>
      <c r="V13" s="173">
        <v>5.0</v>
      </c>
      <c r="W13" s="171"/>
      <c r="X13" s="163"/>
      <c r="Y13" s="163"/>
      <c r="Z13" s="163"/>
    </row>
    <row r="14" ht="21.75" customHeight="1">
      <c r="A14" s="174"/>
      <c r="B14" s="164"/>
      <c r="C14" s="175"/>
      <c r="D14" s="176" t="s">
        <v>169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75"/>
      <c r="R14" s="175"/>
      <c r="S14" s="175"/>
      <c r="T14" s="175"/>
      <c r="U14" s="175"/>
      <c r="V14" s="177"/>
      <c r="W14" s="171"/>
      <c r="X14" s="163"/>
      <c r="Y14" s="163"/>
      <c r="Z14" s="163"/>
    </row>
    <row r="15" ht="21.75" customHeight="1">
      <c r="A15" s="174"/>
      <c r="B15" s="172"/>
      <c r="C15" s="178">
        <v>1.0</v>
      </c>
      <c r="D15" s="174"/>
      <c r="E15" s="174" t="s">
        <v>170</v>
      </c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8">
        <v>10.0</v>
      </c>
      <c r="R15" s="178"/>
      <c r="S15" s="178"/>
      <c r="T15" s="178"/>
      <c r="U15" s="178"/>
      <c r="V15" s="177" t="s">
        <v>171</v>
      </c>
      <c r="W15" s="179"/>
      <c r="X15" s="174"/>
      <c r="Y15" s="174"/>
      <c r="Z15" s="174">
        <f t="shared" ref="Z15:Z20" si="1">+(5/5)*Q15</f>
        <v>10</v>
      </c>
    </row>
    <row r="16" ht="21.75" customHeight="1">
      <c r="A16" s="174"/>
      <c r="B16" s="172"/>
      <c r="C16" s="180">
        <v>2.0</v>
      </c>
      <c r="D16" s="181"/>
      <c r="E16" s="181" t="s">
        <v>172</v>
      </c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0">
        <v>10.0</v>
      </c>
      <c r="R16" s="180"/>
      <c r="S16" s="180"/>
      <c r="T16" s="180"/>
      <c r="U16" s="180"/>
      <c r="V16" s="177" t="s">
        <v>171</v>
      </c>
      <c r="W16" s="179"/>
      <c r="X16" s="174"/>
      <c r="Y16" s="174"/>
      <c r="Z16" s="174">
        <f t="shared" si="1"/>
        <v>10</v>
      </c>
    </row>
    <row r="17" ht="21.75" customHeight="1">
      <c r="A17" s="174"/>
      <c r="B17" s="172"/>
      <c r="C17" s="180">
        <v>3.0</v>
      </c>
      <c r="D17" s="181"/>
      <c r="E17" s="181" t="s">
        <v>173</v>
      </c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0">
        <v>10.0</v>
      </c>
      <c r="R17" s="180"/>
      <c r="S17" s="180"/>
      <c r="T17" s="180"/>
      <c r="U17" s="180"/>
      <c r="V17" s="177" t="s">
        <v>171</v>
      </c>
      <c r="W17" s="179"/>
      <c r="X17" s="174"/>
      <c r="Y17" s="174"/>
      <c r="Z17" s="174">
        <f t="shared" si="1"/>
        <v>10</v>
      </c>
    </row>
    <row r="18" ht="21.75" customHeight="1">
      <c r="A18" s="174"/>
      <c r="B18" s="172"/>
      <c r="C18" s="180">
        <v>4.0</v>
      </c>
      <c r="D18" s="181"/>
      <c r="E18" s="181" t="s">
        <v>174</v>
      </c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0">
        <v>10.0</v>
      </c>
      <c r="R18" s="180"/>
      <c r="S18" s="180"/>
      <c r="T18" s="180"/>
      <c r="U18" s="180"/>
      <c r="V18" s="177" t="s">
        <v>171</v>
      </c>
      <c r="W18" s="179"/>
      <c r="X18" s="174"/>
      <c r="Y18" s="174"/>
      <c r="Z18" s="174">
        <f t="shared" si="1"/>
        <v>10</v>
      </c>
    </row>
    <row r="19" ht="21.75" customHeight="1">
      <c r="A19" s="174"/>
      <c r="B19" s="172"/>
      <c r="C19" s="180">
        <v>5.0</v>
      </c>
      <c r="D19" s="181"/>
      <c r="E19" s="174" t="s">
        <v>175</v>
      </c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0">
        <v>10.0</v>
      </c>
      <c r="R19" s="180"/>
      <c r="S19" s="180"/>
      <c r="T19" s="180"/>
      <c r="U19" s="180"/>
      <c r="V19" s="177" t="s">
        <v>171</v>
      </c>
      <c r="W19" s="179"/>
      <c r="X19" s="174"/>
      <c r="Y19" s="174"/>
      <c r="Z19" s="174">
        <f t="shared" si="1"/>
        <v>10</v>
      </c>
    </row>
    <row r="20" ht="21.75" customHeight="1">
      <c r="A20" s="174"/>
      <c r="B20" s="172"/>
      <c r="C20" s="180">
        <v>6.0</v>
      </c>
      <c r="D20" s="181"/>
      <c r="E20" s="181" t="s">
        <v>176</v>
      </c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0">
        <v>10.0</v>
      </c>
      <c r="R20" s="180"/>
      <c r="S20" s="180"/>
      <c r="T20" s="180"/>
      <c r="U20" s="180"/>
      <c r="V20" s="177" t="s">
        <v>171</v>
      </c>
      <c r="W20" s="179"/>
      <c r="X20" s="174"/>
      <c r="Y20" s="174"/>
      <c r="Z20" s="174">
        <f t="shared" si="1"/>
        <v>10</v>
      </c>
    </row>
    <row r="21" ht="4.5" customHeight="1">
      <c r="A21" s="174"/>
      <c r="B21" s="172"/>
      <c r="C21" s="182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2"/>
      <c r="R21" s="182"/>
      <c r="S21" s="182"/>
      <c r="T21" s="182"/>
      <c r="U21" s="182"/>
      <c r="V21" s="177"/>
      <c r="W21" s="179"/>
      <c r="X21" s="174"/>
      <c r="Y21" s="174"/>
      <c r="Z21" s="174"/>
    </row>
    <row r="22" ht="21.75" customHeight="1">
      <c r="A22" s="163"/>
      <c r="B22" s="164"/>
      <c r="C22" s="184"/>
      <c r="D22" s="176" t="s">
        <v>177</v>
      </c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84"/>
      <c r="R22" s="184"/>
      <c r="S22" s="184"/>
      <c r="T22" s="184"/>
      <c r="U22" s="184"/>
      <c r="V22" s="177"/>
      <c r="W22" s="171"/>
      <c r="X22" s="163"/>
      <c r="Y22" s="163"/>
      <c r="Z22" s="163"/>
    </row>
    <row r="23" ht="36.0" customHeight="1">
      <c r="A23" s="174"/>
      <c r="B23" s="172"/>
      <c r="C23" s="177">
        <v>7.0</v>
      </c>
      <c r="D23" s="185"/>
      <c r="E23" s="186" t="s">
        <v>178</v>
      </c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87"/>
      <c r="Q23" s="177">
        <v>5.0</v>
      </c>
      <c r="R23" s="177"/>
      <c r="S23" s="177"/>
      <c r="T23" s="177"/>
      <c r="U23" s="177"/>
      <c r="V23" s="177" t="s">
        <v>171</v>
      </c>
      <c r="W23" s="179"/>
      <c r="X23" s="174"/>
      <c r="Y23" s="174"/>
      <c r="Z23" s="174">
        <f t="shared" ref="Z23:Z25" si="2">+(5/5)*Q23</f>
        <v>5</v>
      </c>
    </row>
    <row r="24" ht="21.75" customHeight="1">
      <c r="A24" s="174"/>
      <c r="B24" s="172"/>
      <c r="C24" s="180">
        <v>8.0</v>
      </c>
      <c r="D24" s="181"/>
      <c r="E24" s="181" t="s">
        <v>179</v>
      </c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0">
        <v>10.0</v>
      </c>
      <c r="R24" s="180"/>
      <c r="S24" s="180"/>
      <c r="T24" s="180"/>
      <c r="U24" s="180"/>
      <c r="V24" s="177" t="s">
        <v>171</v>
      </c>
      <c r="W24" s="179"/>
      <c r="X24" s="174"/>
      <c r="Y24" s="174"/>
      <c r="Z24" s="174">
        <f t="shared" si="2"/>
        <v>10</v>
      </c>
    </row>
    <row r="25" ht="36.0" customHeight="1">
      <c r="A25" s="174"/>
      <c r="B25" s="172"/>
      <c r="C25" s="180">
        <v>9.0</v>
      </c>
      <c r="D25" s="181"/>
      <c r="E25" s="188" t="s">
        <v>180</v>
      </c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89"/>
      <c r="Q25" s="180">
        <v>5.0</v>
      </c>
      <c r="R25" s="180"/>
      <c r="S25" s="180"/>
      <c r="T25" s="180"/>
      <c r="U25" s="180"/>
      <c r="V25" s="177" t="s">
        <v>171</v>
      </c>
      <c r="W25" s="179"/>
      <c r="X25" s="174"/>
      <c r="Y25" s="174"/>
      <c r="Z25" s="174">
        <f t="shared" si="2"/>
        <v>5</v>
      </c>
    </row>
    <row r="26" ht="21.75" customHeight="1">
      <c r="A26" s="174"/>
      <c r="B26" s="172"/>
      <c r="C26" s="180">
        <v>10.0</v>
      </c>
      <c r="D26" s="181"/>
      <c r="E26" s="181" t="s">
        <v>181</v>
      </c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0"/>
      <c r="R26" s="180"/>
      <c r="S26" s="180"/>
      <c r="T26" s="180"/>
      <c r="U26" s="177"/>
      <c r="V26" s="177"/>
      <c r="W26" s="179"/>
      <c r="X26" s="174"/>
      <c r="Y26" s="174"/>
      <c r="Z26" s="174"/>
    </row>
    <row r="27" ht="21.75" customHeight="1">
      <c r="A27" s="174"/>
      <c r="B27" s="172"/>
      <c r="C27" s="180"/>
      <c r="D27" s="181"/>
      <c r="E27" s="181" t="s">
        <v>182</v>
      </c>
      <c r="F27" s="181" t="s">
        <v>183</v>
      </c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0">
        <v>5.0</v>
      </c>
      <c r="R27" s="180"/>
      <c r="S27" s="180"/>
      <c r="T27" s="180"/>
      <c r="U27" s="177" t="s">
        <v>171</v>
      </c>
      <c r="V27" s="177"/>
      <c r="W27" s="179"/>
      <c r="X27" s="174"/>
      <c r="Y27" s="174"/>
      <c r="Z27" s="174">
        <f t="shared" ref="Z27:Z35" si="3">+(4/5)*Q27</f>
        <v>4</v>
      </c>
    </row>
    <row r="28" ht="21.75" customHeight="1">
      <c r="A28" s="174"/>
      <c r="B28" s="172"/>
      <c r="C28" s="180"/>
      <c r="D28" s="181"/>
      <c r="E28" s="181" t="s">
        <v>182</v>
      </c>
      <c r="F28" s="181" t="s">
        <v>184</v>
      </c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0">
        <v>5.0</v>
      </c>
      <c r="R28" s="180"/>
      <c r="S28" s="180"/>
      <c r="T28" s="180"/>
      <c r="U28" s="177" t="s">
        <v>171</v>
      </c>
      <c r="V28" s="177"/>
      <c r="W28" s="179"/>
      <c r="X28" s="174"/>
      <c r="Y28" s="174"/>
      <c r="Z28" s="174">
        <f t="shared" si="3"/>
        <v>4</v>
      </c>
    </row>
    <row r="29" ht="21.75" customHeight="1">
      <c r="A29" s="174"/>
      <c r="B29" s="172"/>
      <c r="C29" s="180"/>
      <c r="D29" s="181"/>
      <c r="E29" s="181" t="s">
        <v>182</v>
      </c>
      <c r="F29" s="181" t="s">
        <v>185</v>
      </c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0">
        <v>5.0</v>
      </c>
      <c r="R29" s="180"/>
      <c r="S29" s="180"/>
      <c r="T29" s="180"/>
      <c r="U29" s="177" t="s">
        <v>171</v>
      </c>
      <c r="V29" s="180"/>
      <c r="W29" s="179"/>
      <c r="X29" s="174"/>
      <c r="Y29" s="174"/>
      <c r="Z29" s="174">
        <f t="shared" si="3"/>
        <v>4</v>
      </c>
    </row>
    <row r="30" ht="36.0" customHeight="1">
      <c r="A30" s="174"/>
      <c r="B30" s="172"/>
      <c r="C30" s="180"/>
      <c r="D30" s="181"/>
      <c r="E30" s="190" t="s">
        <v>182</v>
      </c>
      <c r="F30" s="188" t="s">
        <v>186</v>
      </c>
      <c r="G30" s="155"/>
      <c r="H30" s="155"/>
      <c r="I30" s="155"/>
      <c r="J30" s="155"/>
      <c r="K30" s="155"/>
      <c r="L30" s="155"/>
      <c r="M30" s="155"/>
      <c r="N30" s="155"/>
      <c r="O30" s="155"/>
      <c r="P30" s="189"/>
      <c r="Q30" s="180">
        <v>5.0</v>
      </c>
      <c r="R30" s="180"/>
      <c r="S30" s="180"/>
      <c r="T30" s="180"/>
      <c r="U30" s="177" t="s">
        <v>171</v>
      </c>
      <c r="V30" s="180"/>
      <c r="W30" s="179"/>
      <c r="X30" s="174"/>
      <c r="Y30" s="174"/>
      <c r="Z30" s="174">
        <f t="shared" si="3"/>
        <v>4</v>
      </c>
    </row>
    <row r="31" ht="36.0" customHeight="1">
      <c r="A31" s="191"/>
      <c r="B31" s="172"/>
      <c r="C31" s="180">
        <v>11.0</v>
      </c>
      <c r="D31" s="181"/>
      <c r="E31" s="192" t="s">
        <v>187</v>
      </c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89"/>
      <c r="Q31" s="180">
        <v>5.0</v>
      </c>
      <c r="R31" s="180"/>
      <c r="S31" s="180"/>
      <c r="T31" s="180"/>
      <c r="U31" s="177" t="s">
        <v>171</v>
      </c>
      <c r="V31" s="180"/>
      <c r="W31" s="179"/>
      <c r="X31" s="174"/>
      <c r="Y31" s="174"/>
      <c r="Z31" s="174">
        <f t="shared" si="3"/>
        <v>4</v>
      </c>
    </row>
    <row r="32" ht="21.75" customHeight="1">
      <c r="A32" s="174"/>
      <c r="B32" s="172"/>
      <c r="C32" s="180">
        <v>12.0</v>
      </c>
      <c r="D32" s="181"/>
      <c r="E32" s="181" t="s">
        <v>188</v>
      </c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0">
        <v>5.0</v>
      </c>
      <c r="R32" s="180"/>
      <c r="S32" s="180"/>
      <c r="T32" s="180"/>
      <c r="U32" s="177" t="s">
        <v>171</v>
      </c>
      <c r="V32" s="180"/>
      <c r="W32" s="179"/>
      <c r="X32" s="174"/>
      <c r="Y32" s="174"/>
      <c r="Z32" s="174">
        <f t="shared" si="3"/>
        <v>4</v>
      </c>
    </row>
    <row r="33" ht="36.0" customHeight="1">
      <c r="A33" s="174"/>
      <c r="B33" s="172"/>
      <c r="C33" s="180">
        <v>13.0</v>
      </c>
      <c r="D33" s="181"/>
      <c r="E33" s="188" t="s">
        <v>189</v>
      </c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89"/>
      <c r="Q33" s="180">
        <v>10.0</v>
      </c>
      <c r="R33" s="180"/>
      <c r="S33" s="180"/>
      <c r="T33" s="180"/>
      <c r="U33" s="177" t="s">
        <v>171</v>
      </c>
      <c r="V33" s="180"/>
      <c r="W33" s="179"/>
      <c r="X33" s="174"/>
      <c r="Y33" s="174"/>
      <c r="Z33" s="174">
        <f t="shared" si="3"/>
        <v>8</v>
      </c>
    </row>
    <row r="34" ht="36.0" customHeight="1">
      <c r="A34" s="174"/>
      <c r="B34" s="172"/>
      <c r="C34" s="180">
        <v>14.0</v>
      </c>
      <c r="D34" s="181"/>
      <c r="E34" s="188" t="s">
        <v>190</v>
      </c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89"/>
      <c r="Q34" s="180">
        <v>5.0</v>
      </c>
      <c r="R34" s="180"/>
      <c r="S34" s="180"/>
      <c r="T34" s="180"/>
      <c r="U34" s="177" t="s">
        <v>171</v>
      </c>
      <c r="V34" s="180"/>
      <c r="W34" s="179"/>
      <c r="X34" s="174"/>
      <c r="Y34" s="174"/>
      <c r="Z34" s="174">
        <f t="shared" si="3"/>
        <v>4</v>
      </c>
    </row>
    <row r="35" ht="21.75" customHeight="1">
      <c r="A35" s="174"/>
      <c r="B35" s="172"/>
      <c r="C35" s="180">
        <v>15.0</v>
      </c>
      <c r="D35" s="181"/>
      <c r="E35" s="181" t="s">
        <v>191</v>
      </c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0">
        <v>5.0</v>
      </c>
      <c r="R35" s="180"/>
      <c r="S35" s="180"/>
      <c r="T35" s="180"/>
      <c r="U35" s="177" t="s">
        <v>171</v>
      </c>
      <c r="V35" s="180"/>
      <c r="W35" s="179"/>
      <c r="X35" s="174"/>
      <c r="Y35" s="174"/>
      <c r="Z35" s="174">
        <f t="shared" si="3"/>
        <v>4</v>
      </c>
    </row>
    <row r="36" ht="4.5" customHeight="1">
      <c r="A36" s="174"/>
      <c r="B36" s="172"/>
      <c r="C36" s="193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3"/>
      <c r="R36" s="193"/>
      <c r="S36" s="193"/>
      <c r="T36" s="193"/>
      <c r="U36" s="193"/>
      <c r="V36" s="195"/>
      <c r="W36" s="179"/>
      <c r="X36" s="174"/>
      <c r="Y36" s="174"/>
      <c r="Z36" s="174"/>
    </row>
    <row r="37" ht="19.5" customHeight="1">
      <c r="A37" s="174"/>
      <c r="B37" s="196"/>
      <c r="C37" s="197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7"/>
      <c r="R37" s="197"/>
      <c r="S37" s="197"/>
      <c r="T37" s="197"/>
      <c r="U37" s="197"/>
      <c r="V37" s="199"/>
      <c r="W37" s="200"/>
      <c r="X37" s="174"/>
      <c r="Y37" s="163"/>
      <c r="Z37" s="163"/>
    </row>
    <row r="38" ht="21.75" customHeight="1">
      <c r="A38" s="174"/>
      <c r="B38" s="127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201"/>
      <c r="R38" s="201"/>
      <c r="S38" s="201"/>
      <c r="T38" s="201"/>
      <c r="U38" s="201"/>
      <c r="V38" s="201"/>
      <c r="W38" s="162"/>
      <c r="X38" s="174"/>
      <c r="Y38" s="163"/>
      <c r="Z38" s="163"/>
    </row>
    <row r="39" ht="18.75" customHeight="1">
      <c r="A39" s="163"/>
      <c r="B39" s="164"/>
      <c r="C39" s="165" t="s">
        <v>160</v>
      </c>
      <c r="D39" s="166" t="s">
        <v>161</v>
      </c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8"/>
      <c r="Q39" s="169" t="s">
        <v>162</v>
      </c>
      <c r="R39" s="170" t="s">
        <v>163</v>
      </c>
      <c r="S39" s="2"/>
      <c r="T39" s="2"/>
      <c r="U39" s="2"/>
      <c r="V39" s="3"/>
      <c r="W39" s="171"/>
      <c r="X39" s="163"/>
      <c r="Y39" s="163"/>
      <c r="Z39" s="163"/>
    </row>
    <row r="40" ht="18.75" customHeight="1">
      <c r="A40" s="163"/>
      <c r="B40" s="172"/>
      <c r="C40" s="68"/>
      <c r="D40" s="66"/>
      <c r="P40" s="67"/>
      <c r="Q40" s="68"/>
      <c r="R40" s="173" t="s">
        <v>164</v>
      </c>
      <c r="S40" s="173" t="s">
        <v>165</v>
      </c>
      <c r="T40" s="173" t="s">
        <v>166</v>
      </c>
      <c r="U40" s="173" t="s">
        <v>167</v>
      </c>
      <c r="V40" s="173" t="s">
        <v>168</v>
      </c>
      <c r="W40" s="171"/>
      <c r="X40" s="163"/>
      <c r="Y40" s="163"/>
      <c r="Z40" s="163"/>
    </row>
    <row r="41" ht="18.0" customHeight="1">
      <c r="A41" s="163"/>
      <c r="B41" s="172"/>
      <c r="C41" s="73"/>
      <c r="D41" s="70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2"/>
      <c r="Q41" s="73"/>
      <c r="R41" s="173">
        <v>1.0</v>
      </c>
      <c r="S41" s="173">
        <v>2.0</v>
      </c>
      <c r="T41" s="173">
        <v>3.0</v>
      </c>
      <c r="U41" s="173">
        <v>4.0</v>
      </c>
      <c r="V41" s="173">
        <v>5.0</v>
      </c>
      <c r="W41" s="171"/>
      <c r="X41" s="163"/>
      <c r="Y41" s="163"/>
      <c r="Z41" s="163"/>
    </row>
    <row r="42" ht="21.75" customHeight="1">
      <c r="A42" s="174"/>
      <c r="B42" s="172"/>
      <c r="C42" s="178"/>
      <c r="D42" s="176" t="s">
        <v>192</v>
      </c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8"/>
      <c r="R42" s="178"/>
      <c r="S42" s="178"/>
      <c r="T42" s="178"/>
      <c r="U42" s="178"/>
      <c r="V42" s="178"/>
      <c r="W42" s="179"/>
      <c r="X42" s="174"/>
      <c r="Y42" s="174"/>
      <c r="Z42" s="174"/>
    </row>
    <row r="43" ht="34.5" customHeight="1">
      <c r="A43" s="174"/>
      <c r="B43" s="172"/>
      <c r="C43" s="178">
        <v>16.0</v>
      </c>
      <c r="D43" s="174"/>
      <c r="E43" s="202" t="s">
        <v>193</v>
      </c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87"/>
      <c r="Q43" s="178">
        <v>10.0</v>
      </c>
      <c r="R43" s="178"/>
      <c r="S43" s="178"/>
      <c r="T43" s="178"/>
      <c r="U43" s="178"/>
      <c r="V43" s="178" t="s">
        <v>171</v>
      </c>
      <c r="W43" s="179"/>
      <c r="X43" s="174"/>
      <c r="Y43" s="174"/>
      <c r="Z43" s="174">
        <f t="shared" ref="Z43:Z44" si="4">+(5/5)*Q43</f>
        <v>10</v>
      </c>
    </row>
    <row r="44" ht="21.75" customHeight="1">
      <c r="A44" s="174"/>
      <c r="B44" s="172"/>
      <c r="C44" s="180">
        <v>17.0</v>
      </c>
      <c r="D44" s="181"/>
      <c r="E44" s="181" t="s">
        <v>194</v>
      </c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0">
        <v>10.0</v>
      </c>
      <c r="R44" s="180"/>
      <c r="S44" s="180"/>
      <c r="T44" s="180"/>
      <c r="U44" s="180"/>
      <c r="V44" s="180" t="s">
        <v>171</v>
      </c>
      <c r="W44" s="179"/>
      <c r="X44" s="174"/>
      <c r="Y44" s="174"/>
      <c r="Z44" s="174">
        <f t="shared" si="4"/>
        <v>10</v>
      </c>
    </row>
    <row r="45" ht="21.75" customHeight="1">
      <c r="A45" s="174"/>
      <c r="B45" s="172"/>
      <c r="C45" s="178"/>
      <c r="D45" s="176" t="s">
        <v>195</v>
      </c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8"/>
      <c r="R45" s="178"/>
      <c r="S45" s="178"/>
      <c r="T45" s="178"/>
      <c r="U45" s="178"/>
      <c r="V45" s="178"/>
      <c r="W45" s="179"/>
      <c r="X45" s="174"/>
      <c r="Y45" s="163"/>
      <c r="Z45" s="174"/>
    </row>
    <row r="46" ht="33.0" customHeight="1">
      <c r="A46" s="174"/>
      <c r="B46" s="172"/>
      <c r="C46" s="178">
        <v>18.0</v>
      </c>
      <c r="D46" s="174"/>
      <c r="E46" s="202" t="s">
        <v>196</v>
      </c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87"/>
      <c r="Q46" s="178">
        <v>10.0</v>
      </c>
      <c r="R46" s="178"/>
      <c r="S46" s="178"/>
      <c r="T46" s="178"/>
      <c r="U46" s="178"/>
      <c r="V46" s="178" t="s">
        <v>171</v>
      </c>
      <c r="W46" s="179"/>
      <c r="X46" s="174"/>
      <c r="Y46" s="163"/>
      <c r="Z46" s="174">
        <f t="shared" ref="Z46:Z50" si="5">+(5/5)*Q46</f>
        <v>10</v>
      </c>
    </row>
    <row r="47" ht="21.75" customHeight="1">
      <c r="A47" s="174"/>
      <c r="B47" s="172"/>
      <c r="C47" s="180">
        <v>19.0</v>
      </c>
      <c r="D47" s="181"/>
      <c r="E47" s="181" t="s">
        <v>197</v>
      </c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0">
        <v>5.0</v>
      </c>
      <c r="R47" s="180"/>
      <c r="S47" s="180"/>
      <c r="T47" s="180"/>
      <c r="U47" s="180"/>
      <c r="V47" s="180" t="s">
        <v>171</v>
      </c>
      <c r="W47" s="179"/>
      <c r="X47" s="174"/>
      <c r="Y47" s="163"/>
      <c r="Z47" s="174">
        <f t="shared" si="5"/>
        <v>5</v>
      </c>
    </row>
    <row r="48" ht="21.75" customHeight="1">
      <c r="A48" s="174"/>
      <c r="B48" s="172"/>
      <c r="C48" s="180">
        <v>20.0</v>
      </c>
      <c r="D48" s="181"/>
      <c r="E48" s="163" t="s">
        <v>198</v>
      </c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0">
        <v>5.0</v>
      </c>
      <c r="R48" s="180"/>
      <c r="S48" s="180"/>
      <c r="T48" s="180"/>
      <c r="U48" s="180"/>
      <c r="V48" s="180" t="s">
        <v>171</v>
      </c>
      <c r="W48" s="179"/>
      <c r="X48" s="174"/>
      <c r="Y48" s="163"/>
      <c r="Z48" s="174">
        <f t="shared" si="5"/>
        <v>5</v>
      </c>
    </row>
    <row r="49" ht="21.75" customHeight="1">
      <c r="A49" s="174"/>
      <c r="B49" s="172"/>
      <c r="C49" s="180">
        <v>21.0</v>
      </c>
      <c r="D49" s="181"/>
      <c r="E49" s="181" t="s">
        <v>199</v>
      </c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0">
        <v>10.0</v>
      </c>
      <c r="R49" s="180"/>
      <c r="S49" s="180"/>
      <c r="T49" s="180"/>
      <c r="U49" s="180"/>
      <c r="V49" s="180" t="s">
        <v>171</v>
      </c>
      <c r="W49" s="179"/>
      <c r="X49" s="174"/>
      <c r="Y49" s="163"/>
      <c r="Z49" s="174">
        <f t="shared" si="5"/>
        <v>10</v>
      </c>
    </row>
    <row r="50" ht="21.75" customHeight="1">
      <c r="A50" s="174"/>
      <c r="B50" s="172"/>
      <c r="C50" s="180">
        <v>22.0</v>
      </c>
      <c r="D50" s="181"/>
      <c r="E50" s="181" t="s">
        <v>200</v>
      </c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0">
        <v>10.0</v>
      </c>
      <c r="R50" s="180"/>
      <c r="S50" s="180"/>
      <c r="T50" s="180"/>
      <c r="U50" s="180"/>
      <c r="V50" s="178" t="s">
        <v>171</v>
      </c>
      <c r="W50" s="179"/>
      <c r="X50" s="174"/>
      <c r="Y50" s="163"/>
      <c r="Z50" s="174">
        <f t="shared" si="5"/>
        <v>10</v>
      </c>
    </row>
    <row r="51" ht="4.5" customHeight="1">
      <c r="A51" s="203"/>
      <c r="B51" s="172"/>
      <c r="C51" s="193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3"/>
      <c r="R51" s="193"/>
      <c r="S51" s="193"/>
      <c r="T51" s="193"/>
      <c r="U51" s="193"/>
      <c r="V51" s="195"/>
      <c r="W51" s="179"/>
      <c r="X51" s="174"/>
      <c r="Y51" s="174"/>
      <c r="Z51" s="174"/>
    </row>
    <row r="52" ht="21.75" customHeight="1">
      <c r="A52" s="174"/>
      <c r="B52" s="172"/>
      <c r="C52" s="204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6" t="s">
        <v>201</v>
      </c>
      <c r="Q52" s="207">
        <f>SUM(Q43:Q51,Q15:Q35)</f>
        <v>190</v>
      </c>
      <c r="R52" s="208"/>
      <c r="S52" s="208"/>
      <c r="T52" s="208"/>
      <c r="U52" s="208"/>
      <c r="V52" s="208"/>
      <c r="W52" s="179"/>
      <c r="X52" s="174"/>
      <c r="Y52" s="174"/>
      <c r="Z52" s="174"/>
    </row>
    <row r="53" ht="21.75" customHeight="1">
      <c r="A53" s="209"/>
      <c r="B53" s="172"/>
      <c r="C53" s="208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208"/>
      <c r="R53" s="174"/>
      <c r="S53" s="204"/>
      <c r="T53" s="210" t="s">
        <v>201</v>
      </c>
      <c r="U53" s="211">
        <f>SUM(Z15:Z50)</f>
        <v>180</v>
      </c>
      <c r="V53" s="3"/>
      <c r="W53" s="179"/>
      <c r="X53" s="174"/>
      <c r="Y53" s="174"/>
      <c r="Z53" s="174"/>
    </row>
    <row r="54" ht="21.75" customHeight="1">
      <c r="A54" s="209"/>
      <c r="B54" s="212"/>
      <c r="C54" s="213" t="s">
        <v>202</v>
      </c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14"/>
      <c r="R54" s="209"/>
      <c r="S54" s="215"/>
      <c r="T54" s="216" t="s">
        <v>203</v>
      </c>
      <c r="U54" s="217">
        <f>U53/1.9</f>
        <v>94.73684211</v>
      </c>
      <c r="V54" s="3"/>
      <c r="W54" s="218"/>
      <c r="X54" s="203"/>
      <c r="Y54" s="203"/>
      <c r="Z54" s="203"/>
    </row>
    <row r="55" ht="21.75" customHeight="1">
      <c r="A55" s="209"/>
      <c r="B55" s="212"/>
      <c r="C55" s="214"/>
      <c r="D55" s="203"/>
      <c r="E55" s="203" t="s">
        <v>204</v>
      </c>
      <c r="F55" s="203"/>
      <c r="G55" s="203"/>
      <c r="H55" s="214"/>
      <c r="I55" s="203"/>
      <c r="J55" s="203"/>
      <c r="K55" s="203"/>
      <c r="L55" s="203"/>
      <c r="M55" s="203"/>
      <c r="N55" s="203" t="s">
        <v>205</v>
      </c>
      <c r="O55" s="203"/>
      <c r="P55" s="203"/>
      <c r="Q55" s="214"/>
      <c r="R55" s="214"/>
      <c r="S55" s="214"/>
      <c r="T55" s="214"/>
      <c r="U55" s="214"/>
      <c r="V55" s="214"/>
      <c r="W55" s="218"/>
      <c r="X55" s="203"/>
      <c r="Y55" s="203"/>
      <c r="Z55" s="203"/>
    </row>
    <row r="56" ht="21.75" customHeight="1">
      <c r="A56" s="209"/>
      <c r="B56" s="212"/>
      <c r="C56" s="219" t="s">
        <v>206</v>
      </c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14"/>
      <c r="R56" s="214"/>
      <c r="S56" s="214"/>
      <c r="T56" s="214"/>
      <c r="U56" s="214"/>
      <c r="V56" s="214"/>
      <c r="W56" s="218"/>
      <c r="X56" s="203"/>
      <c r="Y56" s="203"/>
      <c r="Z56" s="203"/>
    </row>
    <row r="57" ht="15.0" customHeight="1">
      <c r="A57" s="209"/>
      <c r="B57" s="212"/>
      <c r="C57" s="214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14"/>
      <c r="R57" s="214"/>
      <c r="S57" s="214"/>
      <c r="T57" s="214"/>
      <c r="U57" s="214"/>
      <c r="V57" s="214"/>
      <c r="W57" s="218"/>
      <c r="X57" s="203"/>
      <c r="Y57" s="203"/>
      <c r="Z57" s="203"/>
    </row>
    <row r="58" ht="21.75" customHeight="1">
      <c r="A58" s="203"/>
      <c r="B58" s="212"/>
      <c r="C58" s="213" t="s">
        <v>207</v>
      </c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14"/>
      <c r="R58" s="214"/>
      <c r="S58" s="214"/>
      <c r="T58" s="214"/>
      <c r="U58" s="214"/>
      <c r="V58" s="214"/>
      <c r="W58" s="218"/>
      <c r="X58" s="203"/>
      <c r="Y58" s="203"/>
      <c r="Z58" s="203"/>
    </row>
    <row r="59" ht="21.75" customHeight="1">
      <c r="A59" s="203"/>
      <c r="B59" s="212"/>
      <c r="C59" s="220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0"/>
      <c r="R59" s="220"/>
      <c r="S59" s="220"/>
      <c r="T59" s="220"/>
      <c r="U59" s="220"/>
      <c r="V59" s="220"/>
      <c r="W59" s="218"/>
      <c r="X59" s="203"/>
      <c r="Y59" s="203"/>
      <c r="Z59" s="203"/>
    </row>
    <row r="60" ht="21.75" customHeight="1">
      <c r="A60" s="203"/>
      <c r="B60" s="212"/>
      <c r="C60" s="222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2"/>
      <c r="R60" s="222"/>
      <c r="S60" s="222"/>
      <c r="T60" s="222"/>
      <c r="U60" s="222"/>
      <c r="V60" s="222"/>
      <c r="W60" s="218"/>
      <c r="X60" s="203"/>
      <c r="Y60" s="203"/>
      <c r="Z60" s="203"/>
    </row>
    <row r="61" ht="21.75" customHeight="1">
      <c r="A61" s="203"/>
      <c r="B61" s="212"/>
      <c r="C61" s="222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2"/>
      <c r="R61" s="222"/>
      <c r="S61" s="222"/>
      <c r="T61" s="222"/>
      <c r="U61" s="222"/>
      <c r="V61" s="222"/>
      <c r="W61" s="218"/>
      <c r="X61" s="203"/>
      <c r="Y61" s="203"/>
      <c r="Z61" s="203"/>
    </row>
    <row r="62" ht="21.75" customHeight="1">
      <c r="A62" s="203"/>
      <c r="B62" s="212"/>
      <c r="C62" s="222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2"/>
      <c r="R62" s="222"/>
      <c r="S62" s="222"/>
      <c r="T62" s="222"/>
      <c r="U62" s="222"/>
      <c r="V62" s="222"/>
      <c r="W62" s="218"/>
      <c r="X62" s="203"/>
      <c r="Y62" s="203"/>
      <c r="Z62" s="203"/>
    </row>
    <row r="63" ht="9.75" customHeight="1">
      <c r="A63" s="203"/>
      <c r="B63" s="212"/>
      <c r="C63" s="214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14"/>
      <c r="R63" s="214"/>
      <c r="S63" s="214"/>
      <c r="T63" s="214"/>
      <c r="U63" s="214"/>
      <c r="V63" s="214"/>
      <c r="W63" s="218"/>
      <c r="X63" s="203"/>
      <c r="Y63" s="203"/>
      <c r="Z63" s="203"/>
    </row>
    <row r="64" ht="21.75" customHeight="1">
      <c r="A64" s="224"/>
      <c r="B64" s="212"/>
      <c r="C64" s="214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14"/>
      <c r="R64" s="214"/>
      <c r="S64" s="214"/>
      <c r="T64" s="214"/>
      <c r="U64" s="214"/>
      <c r="V64" s="214"/>
      <c r="W64" s="218"/>
      <c r="X64" s="203"/>
      <c r="Y64" s="203"/>
      <c r="Z64" s="203"/>
    </row>
    <row r="65" ht="21.75" customHeight="1">
      <c r="A65" s="224"/>
      <c r="B65" s="225"/>
      <c r="C65" s="149" t="s">
        <v>208</v>
      </c>
      <c r="D65" s="226"/>
      <c r="E65" s="226"/>
      <c r="F65" s="226"/>
      <c r="G65" s="226"/>
      <c r="H65" s="226"/>
      <c r="I65" s="226"/>
      <c r="J65" s="226"/>
      <c r="K65" s="224" t="s">
        <v>209</v>
      </c>
      <c r="L65" s="224"/>
      <c r="M65" s="224"/>
      <c r="N65" s="224"/>
      <c r="O65" s="149" t="s">
        <v>208</v>
      </c>
      <c r="P65" s="226"/>
      <c r="Q65" s="227"/>
      <c r="R65" s="226"/>
      <c r="S65" s="226"/>
      <c r="T65" s="226"/>
      <c r="U65" s="224" t="s">
        <v>210</v>
      </c>
      <c r="V65" s="224"/>
      <c r="W65" s="228"/>
      <c r="X65" s="224"/>
      <c r="Y65" s="224"/>
      <c r="Z65" s="224"/>
    </row>
    <row r="66" ht="21.75" customHeight="1">
      <c r="A66" s="224"/>
      <c r="B66" s="225"/>
      <c r="C66" s="149" t="s">
        <v>211</v>
      </c>
      <c r="D66" s="154" t="s">
        <v>150</v>
      </c>
      <c r="E66" s="155"/>
      <c r="F66" s="155"/>
      <c r="G66" s="155"/>
      <c r="H66" s="155"/>
      <c r="I66" s="155"/>
      <c r="J66" s="155"/>
      <c r="K66" s="224" t="s">
        <v>212</v>
      </c>
      <c r="L66" s="224"/>
      <c r="M66" s="224"/>
      <c r="N66" s="224"/>
      <c r="O66" s="149" t="s">
        <v>211</v>
      </c>
      <c r="P66" s="156"/>
      <c r="Q66" s="220"/>
      <c r="R66" s="156"/>
      <c r="S66" s="156"/>
      <c r="T66" s="156"/>
      <c r="U66" s="224" t="s">
        <v>213</v>
      </c>
      <c r="V66" s="224"/>
      <c r="W66" s="228"/>
      <c r="X66" s="224"/>
      <c r="Y66" s="224"/>
      <c r="Z66" s="224"/>
    </row>
    <row r="67" ht="21.75" customHeight="1">
      <c r="A67" s="224"/>
      <c r="B67" s="225"/>
      <c r="C67" s="224" t="s">
        <v>214</v>
      </c>
      <c r="D67" s="224"/>
      <c r="E67" s="154" t="s">
        <v>153</v>
      </c>
      <c r="F67" s="155"/>
      <c r="G67" s="155"/>
      <c r="H67" s="155"/>
      <c r="I67" s="155"/>
      <c r="J67" s="155"/>
      <c r="K67" s="224"/>
      <c r="L67" s="224"/>
      <c r="M67" s="224"/>
      <c r="N67" s="224"/>
      <c r="O67" s="224" t="s">
        <v>214</v>
      </c>
      <c r="P67" s="224"/>
      <c r="Q67" s="222" t="s">
        <v>215</v>
      </c>
      <c r="R67" s="155"/>
      <c r="S67" s="155"/>
      <c r="T67" s="155"/>
      <c r="U67" s="224"/>
      <c r="V67" s="224"/>
      <c r="W67" s="228"/>
      <c r="X67" s="224"/>
      <c r="Y67" s="224"/>
      <c r="Z67" s="224"/>
    </row>
    <row r="68" ht="21.75" customHeight="1">
      <c r="A68" s="224"/>
      <c r="B68" s="225"/>
      <c r="C68" s="224"/>
      <c r="D68" s="149" t="s">
        <v>216</v>
      </c>
      <c r="E68" s="229">
        <f>T5</f>
        <v>46021</v>
      </c>
      <c r="F68" s="155"/>
      <c r="G68" s="155"/>
      <c r="H68" s="155"/>
      <c r="I68" s="155"/>
      <c r="J68" s="155"/>
      <c r="K68" s="224"/>
      <c r="L68" s="224"/>
      <c r="M68" s="224"/>
      <c r="N68" s="224"/>
      <c r="O68" s="224"/>
      <c r="P68" s="149" t="s">
        <v>216</v>
      </c>
      <c r="Q68" s="229">
        <f>T5</f>
        <v>46021</v>
      </c>
      <c r="R68" s="155"/>
      <c r="S68" s="155"/>
      <c r="T68" s="155"/>
      <c r="U68" s="224"/>
      <c r="V68" s="224"/>
      <c r="W68" s="228"/>
      <c r="X68" s="224"/>
      <c r="Y68" s="224"/>
      <c r="Z68" s="224"/>
    </row>
    <row r="69" ht="21.75" customHeight="1">
      <c r="A69" s="224"/>
      <c r="B69" s="225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19"/>
      <c r="R69" s="224"/>
      <c r="S69" s="224"/>
      <c r="T69" s="224"/>
      <c r="U69" s="224"/>
      <c r="V69" s="224"/>
      <c r="W69" s="228"/>
      <c r="X69" s="224"/>
      <c r="Y69" s="224"/>
      <c r="Z69" s="224"/>
    </row>
    <row r="70" ht="21.75" customHeight="1">
      <c r="A70" s="224"/>
      <c r="B70" s="225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224"/>
      <c r="N70" s="224"/>
      <c r="O70" s="224"/>
      <c r="P70" s="224"/>
      <c r="Q70" s="219"/>
      <c r="R70" s="224"/>
      <c r="S70" s="224"/>
      <c r="T70" s="224"/>
      <c r="U70" s="224"/>
      <c r="V70" s="224"/>
      <c r="W70" s="228"/>
      <c r="X70" s="224"/>
      <c r="Y70" s="224"/>
      <c r="Z70" s="224"/>
    </row>
    <row r="71" ht="21.75" customHeight="1">
      <c r="A71" s="224"/>
      <c r="B71" s="225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149" t="s">
        <v>208</v>
      </c>
      <c r="N71" s="226"/>
      <c r="O71" s="226"/>
      <c r="P71" s="226"/>
      <c r="Q71" s="227"/>
      <c r="R71" s="226"/>
      <c r="S71" s="224"/>
      <c r="T71" s="224"/>
      <c r="U71" s="224"/>
      <c r="V71" s="224"/>
      <c r="W71" s="228"/>
      <c r="X71" s="224"/>
      <c r="Y71" s="224"/>
      <c r="Z71" s="224"/>
    </row>
    <row r="72" ht="21.75" customHeight="1">
      <c r="A72" s="224"/>
      <c r="B72" s="225"/>
      <c r="C72" s="224"/>
      <c r="D72" s="224"/>
      <c r="E72" s="224"/>
      <c r="F72" s="224"/>
      <c r="G72" s="224"/>
      <c r="H72" s="224"/>
      <c r="I72" s="224"/>
      <c r="J72" s="224"/>
      <c r="K72" s="224"/>
      <c r="L72" s="224"/>
      <c r="M72" s="224"/>
      <c r="N72" s="230" t="s">
        <v>217</v>
      </c>
      <c r="S72" s="224"/>
      <c r="T72" s="224"/>
      <c r="U72" s="224"/>
      <c r="V72" s="224"/>
      <c r="W72" s="228"/>
      <c r="X72" s="224"/>
      <c r="Y72" s="224"/>
      <c r="Z72" s="224"/>
    </row>
    <row r="73" ht="21.75" customHeight="1">
      <c r="A73" s="224"/>
      <c r="B73" s="225"/>
      <c r="C73" s="224"/>
      <c r="D73" s="224"/>
      <c r="E73" s="224"/>
      <c r="F73" s="224"/>
      <c r="G73" s="224"/>
      <c r="H73" s="224"/>
      <c r="I73" s="224"/>
      <c r="J73" s="224"/>
      <c r="K73" s="224" t="s">
        <v>218</v>
      </c>
      <c r="L73" s="224"/>
      <c r="M73" s="224"/>
      <c r="N73" s="224"/>
      <c r="O73" s="224"/>
      <c r="P73" s="224"/>
      <c r="Q73" s="219"/>
      <c r="R73" s="224"/>
      <c r="S73" s="224"/>
      <c r="T73" s="224"/>
      <c r="U73" s="224"/>
      <c r="V73" s="224"/>
      <c r="W73" s="228"/>
      <c r="X73" s="224"/>
      <c r="Y73" s="224"/>
      <c r="Z73" s="224"/>
    </row>
    <row r="74" ht="21.75" customHeight="1">
      <c r="A74" s="126"/>
      <c r="B74" s="225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149" t="s">
        <v>216</v>
      </c>
      <c r="N74" s="150">
        <f>T5</f>
        <v>46021</v>
      </c>
      <c r="O74" s="151"/>
      <c r="P74" s="151"/>
      <c r="Q74" s="151"/>
      <c r="R74" s="151"/>
      <c r="S74" s="224"/>
      <c r="T74" s="224"/>
      <c r="U74" s="224"/>
      <c r="V74" s="224"/>
      <c r="W74" s="228"/>
      <c r="X74" s="224"/>
      <c r="Y74" s="224"/>
      <c r="Z74" s="224"/>
    </row>
    <row r="75" ht="21.75" customHeight="1">
      <c r="A75" s="126"/>
      <c r="B75" s="139"/>
      <c r="C75" s="231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60"/>
      <c r="X75" s="126"/>
      <c r="Y75" s="126"/>
      <c r="Z75" s="126"/>
    </row>
    <row r="76" ht="21.7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21.7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21.7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21.7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21.7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21.7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21.7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21.7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21.7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21.7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21.7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21.7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21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21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21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21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21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21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21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21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21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21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21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21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21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21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21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21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21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21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21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21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21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21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21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21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21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21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21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21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21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21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21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21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21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21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21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21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21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21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21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21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21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21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21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21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21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21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21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21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21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21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21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21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21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21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21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21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21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21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21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21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21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21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21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21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21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21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21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21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21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21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21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21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21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21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21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21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21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21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21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21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21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21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21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21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21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21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21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21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21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21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21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21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21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21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21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21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21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21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21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21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21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21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21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21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21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21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21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21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21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21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21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21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21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21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21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21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21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21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21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21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21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21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21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21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21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21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21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21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21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21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21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21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21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21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21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21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21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21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21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21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21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21.7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21.7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21.7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21.7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21.7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21.7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21.7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21.7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21.7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21.7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21.7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21.7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21.7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21.7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21.7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21.7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21.7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21.7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21.7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21.7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21.7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21.7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21.7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21.7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21.7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21.7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21.7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21.7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21.7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21.7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21.7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21.7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21.7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21.7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21.7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21.7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21.7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21.7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21.7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21.7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21.7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21.7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21.7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21.7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21.7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21.7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21.7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21.7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21.7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21.7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21.7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21.7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21.7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21.7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21.7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21.7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21.7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21.7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21.7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21.7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21.7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21.7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21.7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21.7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21.7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21.7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21.7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21.7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21.7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21.7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21.7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21.7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21.7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21.7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21.7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21.7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21.7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21.7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21.7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21.7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21.7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21.7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21.7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21.7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21.7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21.7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21.7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21.7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21.7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21.7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21.7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21.7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21.7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21.7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21.7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21.7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21.7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21.7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21.7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21.7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21.7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21.7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21.7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21.7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21.7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21.7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21.7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21.7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21.7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21.7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21.7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21.7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21.7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21.7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21.7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21.7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21.7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21.7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21.7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21.7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21.7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21.7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21.7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21.7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21.7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21.7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21.7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21.7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21.7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21.7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21.7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21.7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21.7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21.7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21.7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21.7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21.7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21.7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21.7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21.7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21.7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21.7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21.7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21.7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21.7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21.7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21.7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21.7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21.7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21.7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21.7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21.7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21.7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21.7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21.7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21.7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21.7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21.7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21.7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21.7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21.7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21.7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21.7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21.7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21.7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21.7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21.7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21.7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21.7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21.7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21.7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21.7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21.7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21.7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21.75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21.75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21.75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21.75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21.75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21.75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21.75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21.75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21.75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21.75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21.75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21.75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21.75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21.75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21.75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21.75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21.75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21.75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21.75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21.75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21.75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21.75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21.75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21.75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21.75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21.75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21.75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21.75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21.75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21.75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21.75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21.75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21.75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21.75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21.75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21.75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21.75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21.75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21.75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21.75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21.75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21.75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21.75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21.75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21.75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21.75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21.75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21.75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21.75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21.75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21.75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21.75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21.75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21.75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21.75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21.75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21.75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21.75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21.75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21.75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21.75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21.75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21.75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21.75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21.75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21.75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21.75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21.75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21.75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21.75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21.75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21.75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21.75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21.75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21.75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21.75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21.75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21.75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21.75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21.75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21.75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21.75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21.75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21.75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21.75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21.75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21.7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21.7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21.7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21.7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21.7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21.7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21.7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21.7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21.7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21.7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21.7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21.7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21.7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21.7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21.7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21.7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21.7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21.7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21.7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21.7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21.7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21.7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21.7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21.7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21.7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21.7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21.7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21.7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21.7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21.7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21.7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21.7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21.7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21.7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21.7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21.7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21.7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21.7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21.7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21.7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21.7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21.7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21.7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21.7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21.7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21.7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21.7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21.7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21.7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21.7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21.7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21.7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21.7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21.7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21.7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21.7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21.7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21.7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21.7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21.7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21.7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21.7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21.7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21.7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21.7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21.7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21.7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21.7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21.7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21.7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21.7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21.7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21.7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21.7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21.7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21.7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21.7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21.7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21.7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21.7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21.7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21.7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21.7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21.7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21.7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21.7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21.7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21.7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21.7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21.7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21.7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21.7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21.7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21.7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21.7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21.7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21.7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21.7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21.7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21.7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21.7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21.7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21.7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21.7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21.7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21.7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21.7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21.7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21.7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21.7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21.7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21.7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21.7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21.7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21.7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21.7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21.7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21.7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21.7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21.75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21.75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21.75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21.75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21.75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21.75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21.75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21.75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21.75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21.75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21.75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21.75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21.75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21.75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21.75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21.75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21.75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21.75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21.75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21.75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21.75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21.75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21.75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21.75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21.75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21.75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21.75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21.75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21.75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21.75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21.75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21.75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21.75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21.75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21.75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21.75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21.75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21.75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21.75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21.75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21.75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21.75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21.75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21.75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21.75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21.75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21.75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21.75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21.75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21.75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21.75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21.75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21.75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21.75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21.75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21.75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21.75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21.75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21.75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21.75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21.75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21.75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21.75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21.75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21.75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21.75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21.75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21.75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21.75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21.75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21.75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21.75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21.75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21.75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21.75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21.75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21.75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21.75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21.75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21.75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21.75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21.75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21.75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21.75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21.75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21.75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21.75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21.75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21.75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21.75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21.75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21.75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21.75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21.75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21.75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21.75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21.75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21.75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21.75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21.75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21.75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21.75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21.75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21.75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21.75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21.75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21.75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21.75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21.75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21.75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21.75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21.75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21.75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21.75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21.75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21.75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21.75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21.75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21.75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21.75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21.75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21.75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21.75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21.75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21.75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21.75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21.75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21.75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21.75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21.75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21.75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21.75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21.75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21.75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21.75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21.75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21.75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21.75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21.75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21.75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21.75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21.75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21.75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21.75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21.75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21.75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21.75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21.75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21.75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21.75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21.75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21.75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21.75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21.75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21.75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21.75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21.75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21.75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21.75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21.75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21.75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21.75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21.75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21.75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21.75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21.75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21.75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21.75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21.75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21.75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21.75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21.75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21.75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21.75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21.75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21.75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21.75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21.75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21.75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21.75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21.75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21.75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21.75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21.75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21.75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21.75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21.75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21.75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21.75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21.75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21.75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21.75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21.75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21.75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21.75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21.75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21.75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21.75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21.75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21.75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21.75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21.75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21.75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21.75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21.75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21.75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21.75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21.75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21.75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21.75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21.75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21.75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21.75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21.75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21.75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21.75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21.75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21.75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21.75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21.75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21.75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21.75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21.75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21.75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21.75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21.75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21.75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21.75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21.75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21.75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21.75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21.75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21.75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21.75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21.75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21.75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21.75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21.75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21.75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21.75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21.75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21.75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21.75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21.75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21.75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21.75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21.75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21.75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21.75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21.75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21.75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21.75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21.75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21.75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21.75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21.75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21.75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21.75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21.75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21.75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21.75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21.75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21.75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21.75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21.75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21.75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21.75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21.75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21.75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21.75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21.75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21.75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21.75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21.75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21.75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21.75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21.75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21.75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21.75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21.75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21.75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21.75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21.75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21.75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21.75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21.75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21.75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21.75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21.75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21.75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21.75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21.75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21.75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21.75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21.75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21.75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21.75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21.75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21.75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21.75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21.75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21.75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21.75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21.75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21.75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21.75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21.75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21.75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21.75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21.75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21.75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21.75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21.75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21.75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21.75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21.75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21.75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21.75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21.75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21.75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21.75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21.75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21.75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21.75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21.75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21.75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21.75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21.75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21.75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21.75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21.75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21.75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21.75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21.75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21.75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21.75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21.75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21.75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21.75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21.75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21.75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21.75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21.75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21.75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21.75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21.75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21.75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21.75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21.75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21.75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21.75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21.75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21.75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21.75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21.75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ht="21.75" customHeight="1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ht="21.75" customHeight="1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ht="21.75" customHeight="1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ht="21.75" customHeight="1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ht="21.75" customHeight="1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ht="21.75" customHeight="1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ht="21.75" customHeight="1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ht="21.75" customHeight="1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ht="21.75" customHeight="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ht="21.75" customHeight="1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ht="21.75" customHeight="1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ht="21.75" customHeight="1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ht="21.75" customHeight="1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ht="21.75" customHeight="1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ht="21.75" customHeight="1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ht="21.75" customHeight="1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ht="21.75" customHeight="1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ht="21.75" customHeight="1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ht="21.75" customHeight="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ht="21.75" customHeight="1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ht="21.75" customHeight="1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ht="21.75" customHeight="1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ht="21.75" customHeight="1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ht="21.75" customHeight="1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ht="21.75" customHeight="1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ht="21.75" customHeight="1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ht="21.75" customHeight="1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ht="21.75" customHeight="1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ht="21.75" customHeight="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ht="21.75" customHeight="1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ht="21.75" customHeight="1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ht="21.75" customHeight="1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ht="21.75" customHeight="1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ht="21.75" customHeight="1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ht="21.75" customHeight="1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ht="21.75" customHeight="1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ht="21.75" customHeight="1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ht="21.75" customHeight="1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32">
    <mergeCell ref="I1:Q3"/>
    <mergeCell ref="R1:W3"/>
    <mergeCell ref="T5:V5"/>
    <mergeCell ref="T6:V6"/>
    <mergeCell ref="F7:J7"/>
    <mergeCell ref="M7:V7"/>
    <mergeCell ref="D8:F8"/>
    <mergeCell ref="C11:C13"/>
    <mergeCell ref="D11:P13"/>
    <mergeCell ref="Q11:Q13"/>
    <mergeCell ref="R11:V11"/>
    <mergeCell ref="E23:P23"/>
    <mergeCell ref="E25:P25"/>
    <mergeCell ref="F30:P30"/>
    <mergeCell ref="E31:P31"/>
    <mergeCell ref="E33:P33"/>
    <mergeCell ref="E34:P34"/>
    <mergeCell ref="C39:C41"/>
    <mergeCell ref="D39:P41"/>
    <mergeCell ref="Q39:Q41"/>
    <mergeCell ref="R39:V39"/>
    <mergeCell ref="Q67:T67"/>
    <mergeCell ref="Q68:T68"/>
    <mergeCell ref="N72:R72"/>
    <mergeCell ref="N74:R74"/>
    <mergeCell ref="E43:P43"/>
    <mergeCell ref="E46:P46"/>
    <mergeCell ref="U53:V53"/>
    <mergeCell ref="U54:V54"/>
    <mergeCell ref="D66:J66"/>
    <mergeCell ref="E67:J67"/>
    <mergeCell ref="E68:J68"/>
  </mergeCells>
  <printOptions horizontalCentered="1"/>
  <pageMargins bottom="0.2362204724409449" footer="0.0" header="0.0" left="0.2362204724409449" right="0.2362204724409449" top="0.2362204724409449"/>
  <pageSetup paperSize="9" orientation="portrait"/>
  <headerFooter>
    <oddFooter>&amp;LAOTGA-TSS-FO-009 Rev.00/08Jan25&amp;Cหน้าที่ &amp;P / &amp;R&amp;A</oddFooter>
  </headerFooter>
  <rowBreaks count="1" manualBreakCount="1">
    <brk id="37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99"/>
    <pageSetUpPr/>
  </sheetPr>
  <sheetViews>
    <sheetView showGridLines="0" workbookViewId="0"/>
  </sheetViews>
  <sheetFormatPr customHeight="1" defaultColWidth="12.63" defaultRowHeight="15.0"/>
  <cols>
    <col customWidth="1" min="1" max="2" width="1.75"/>
    <col customWidth="1" min="3" max="3" width="5.75"/>
    <col customWidth="1" min="4" max="5" width="1.75"/>
    <col customWidth="1" min="6" max="16" width="4.25"/>
    <col customWidth="1" min="17" max="17" width="6.25"/>
    <col customWidth="1" min="18" max="22" width="5.63"/>
    <col customWidth="1" min="23" max="24" width="1.75"/>
    <col customWidth="1" min="25" max="26" width="4.75"/>
  </cols>
  <sheetData>
    <row r="1" ht="21.75" customHeight="1">
      <c r="A1" s="126"/>
      <c r="B1" s="127"/>
      <c r="C1" s="128"/>
      <c r="D1" s="128"/>
      <c r="E1" s="128"/>
      <c r="F1" s="129"/>
      <c r="G1" s="129"/>
      <c r="H1" s="128"/>
      <c r="I1" s="130" t="s">
        <v>146</v>
      </c>
      <c r="J1" s="131"/>
      <c r="K1" s="131"/>
      <c r="L1" s="131"/>
      <c r="M1" s="131"/>
      <c r="N1" s="131"/>
      <c r="O1" s="131"/>
      <c r="P1" s="131"/>
      <c r="Q1" s="132"/>
      <c r="R1" s="133" t="s">
        <v>147</v>
      </c>
      <c r="S1" s="131"/>
      <c r="T1" s="131"/>
      <c r="U1" s="131"/>
      <c r="V1" s="131"/>
      <c r="W1" s="132"/>
      <c r="X1" s="134"/>
      <c r="Y1" s="126"/>
      <c r="Z1" s="126"/>
    </row>
    <row r="2" ht="21.75" customHeight="1">
      <c r="A2" s="126"/>
      <c r="B2" s="135"/>
      <c r="C2" s="126"/>
      <c r="D2" s="126"/>
      <c r="E2" s="136"/>
      <c r="F2" s="136"/>
      <c r="G2" s="136"/>
      <c r="H2" s="137"/>
      <c r="Q2" s="138"/>
      <c r="W2" s="138"/>
      <c r="X2" s="134"/>
      <c r="Y2" s="126"/>
      <c r="Z2" s="126"/>
    </row>
    <row r="3" ht="21.75" customHeight="1">
      <c r="A3" s="126"/>
      <c r="B3" s="139"/>
      <c r="C3" s="140"/>
      <c r="D3" s="140"/>
      <c r="E3" s="141"/>
      <c r="F3" s="141"/>
      <c r="G3" s="141"/>
      <c r="H3" s="142"/>
      <c r="I3" s="143"/>
      <c r="J3" s="143"/>
      <c r="K3" s="143"/>
      <c r="L3" s="143"/>
      <c r="M3" s="143"/>
      <c r="N3" s="143"/>
      <c r="O3" s="143"/>
      <c r="P3" s="143"/>
      <c r="Q3" s="144"/>
      <c r="R3" s="143"/>
      <c r="S3" s="143"/>
      <c r="T3" s="143"/>
      <c r="U3" s="143"/>
      <c r="V3" s="143"/>
      <c r="W3" s="144"/>
      <c r="X3" s="134"/>
      <c r="Y3" s="126"/>
      <c r="Z3" s="126"/>
    </row>
    <row r="4" ht="4.5" customHeight="1">
      <c r="A4" s="126"/>
      <c r="B4" s="127"/>
      <c r="C4" s="128"/>
      <c r="D4" s="128"/>
      <c r="E4" s="129"/>
      <c r="F4" s="129"/>
      <c r="G4" s="129"/>
      <c r="H4" s="145"/>
      <c r="I4" s="145"/>
      <c r="J4" s="145"/>
      <c r="K4" s="145"/>
      <c r="L4" s="145"/>
      <c r="M4" s="145"/>
      <c r="N4" s="145"/>
      <c r="O4" s="145"/>
      <c r="P4" s="145"/>
      <c r="Q4" s="133"/>
      <c r="R4" s="146"/>
      <c r="S4" s="146"/>
      <c r="T4" s="146"/>
      <c r="U4" s="146"/>
      <c r="V4" s="146"/>
      <c r="W4" s="147"/>
      <c r="X4" s="148"/>
      <c r="Y4" s="126"/>
      <c r="Z4" s="126"/>
    </row>
    <row r="5" ht="21.75" customHeight="1">
      <c r="A5" s="126"/>
      <c r="B5" s="135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203"/>
      <c r="R5" s="126"/>
      <c r="S5" s="149" t="s">
        <v>148</v>
      </c>
      <c r="T5" s="150">
        <v>46021.0</v>
      </c>
      <c r="U5" s="151"/>
      <c r="V5" s="151"/>
      <c r="W5" s="152"/>
      <c r="X5" s="126"/>
      <c r="Y5" s="126"/>
      <c r="Z5" s="126"/>
    </row>
    <row r="6" ht="21.75" customHeight="1">
      <c r="A6" s="126"/>
      <c r="B6" s="135"/>
      <c r="C6" s="126" t="s">
        <v>149</v>
      </c>
      <c r="D6" s="126"/>
      <c r="E6" s="126"/>
      <c r="F6" s="126"/>
      <c r="G6" s="153" t="s">
        <v>150</v>
      </c>
      <c r="H6" s="153"/>
      <c r="I6" s="153"/>
      <c r="J6" s="153"/>
      <c r="K6" s="153"/>
      <c r="L6" s="153"/>
      <c r="M6" s="153"/>
      <c r="N6" s="153"/>
      <c r="O6" s="153"/>
      <c r="P6" s="153"/>
      <c r="Q6" s="203"/>
      <c r="R6" s="126"/>
      <c r="S6" s="149" t="s">
        <v>151</v>
      </c>
      <c r="T6" s="154">
        <v>1234567.0</v>
      </c>
      <c r="U6" s="155"/>
      <c r="V6" s="155"/>
      <c r="W6" s="152"/>
      <c r="X6" s="126"/>
      <c r="Y6" s="126"/>
      <c r="Z6" s="126"/>
    </row>
    <row r="7" ht="21.75" customHeight="1">
      <c r="A7" s="126"/>
      <c r="B7" s="135"/>
      <c r="C7" s="126" t="s">
        <v>219</v>
      </c>
      <c r="D7" s="126"/>
      <c r="E7" s="126"/>
      <c r="F7" s="153"/>
      <c r="G7" s="153"/>
      <c r="H7" s="153"/>
      <c r="I7" s="153"/>
      <c r="J7" s="153"/>
      <c r="K7" s="126"/>
      <c r="L7" s="157" t="s">
        <v>154</v>
      </c>
      <c r="M7" s="150" t="s">
        <v>155</v>
      </c>
      <c r="N7" s="151"/>
      <c r="O7" s="151"/>
      <c r="P7" s="151"/>
      <c r="Q7" s="151"/>
      <c r="R7" s="151"/>
      <c r="S7" s="151"/>
      <c r="T7" s="151"/>
      <c r="U7" s="151"/>
      <c r="V7" s="151"/>
      <c r="W7" s="152"/>
      <c r="X7" s="126"/>
      <c r="Y7" s="126"/>
      <c r="Z7" s="126"/>
    </row>
    <row r="8" ht="21.75" customHeight="1">
      <c r="A8" s="126"/>
      <c r="B8" s="135"/>
      <c r="C8" s="126" t="s">
        <v>156</v>
      </c>
      <c r="D8" s="154" t="s">
        <v>157</v>
      </c>
      <c r="E8" s="155"/>
      <c r="F8" s="155"/>
      <c r="G8" s="126"/>
      <c r="H8" s="126"/>
      <c r="I8" s="126"/>
      <c r="J8" s="126"/>
      <c r="K8" s="149" t="s">
        <v>158</v>
      </c>
      <c r="L8" s="153"/>
      <c r="M8" s="158" t="s">
        <v>159</v>
      </c>
      <c r="N8" s="158"/>
      <c r="O8" s="158"/>
      <c r="P8" s="158"/>
      <c r="Q8" s="223"/>
      <c r="R8" s="158"/>
      <c r="S8" s="158"/>
      <c r="T8" s="158"/>
      <c r="U8" s="158"/>
      <c r="V8" s="158"/>
      <c r="W8" s="152"/>
      <c r="X8" s="126"/>
      <c r="Y8" s="126"/>
      <c r="Z8" s="126"/>
    </row>
    <row r="9" ht="9.75" customHeight="1">
      <c r="A9" s="126"/>
      <c r="B9" s="139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59"/>
      <c r="R9" s="140"/>
      <c r="S9" s="140"/>
      <c r="T9" s="140"/>
      <c r="U9" s="140"/>
      <c r="V9" s="140"/>
      <c r="W9" s="160"/>
      <c r="X9" s="126"/>
      <c r="Y9" s="126"/>
      <c r="Z9" s="126"/>
    </row>
    <row r="10" ht="9.75" customHeight="1">
      <c r="A10" s="126"/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61"/>
      <c r="R10" s="128"/>
      <c r="S10" s="128"/>
      <c r="T10" s="128"/>
      <c r="U10" s="128"/>
      <c r="V10" s="128"/>
      <c r="W10" s="162"/>
      <c r="X10" s="126"/>
      <c r="Y10" s="126"/>
      <c r="Z10" s="126"/>
    </row>
    <row r="11" ht="18.75" customHeight="1">
      <c r="A11" s="163"/>
      <c r="B11" s="164"/>
      <c r="C11" s="165" t="s">
        <v>160</v>
      </c>
      <c r="D11" s="166" t="s">
        <v>161</v>
      </c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8"/>
      <c r="Q11" s="169" t="s">
        <v>162</v>
      </c>
      <c r="R11" s="170" t="s">
        <v>163</v>
      </c>
      <c r="S11" s="2"/>
      <c r="T11" s="2"/>
      <c r="U11" s="2"/>
      <c r="V11" s="3"/>
      <c r="W11" s="171"/>
      <c r="X11" s="163"/>
      <c r="Y11" s="163"/>
      <c r="Z11" s="163"/>
    </row>
    <row r="12" ht="18.75" customHeight="1">
      <c r="A12" s="163"/>
      <c r="B12" s="172"/>
      <c r="C12" s="68"/>
      <c r="D12" s="66"/>
      <c r="P12" s="67"/>
      <c r="Q12" s="68"/>
      <c r="R12" s="173" t="s">
        <v>164</v>
      </c>
      <c r="S12" s="173" t="s">
        <v>165</v>
      </c>
      <c r="T12" s="173" t="s">
        <v>166</v>
      </c>
      <c r="U12" s="173" t="s">
        <v>167</v>
      </c>
      <c r="V12" s="173" t="s">
        <v>168</v>
      </c>
      <c r="W12" s="171"/>
      <c r="X12" s="163"/>
      <c r="Y12" s="163"/>
      <c r="Z12" s="163"/>
    </row>
    <row r="13" ht="18.0" customHeight="1">
      <c r="A13" s="163"/>
      <c r="B13" s="172"/>
      <c r="C13" s="73"/>
      <c r="D13" s="70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2"/>
      <c r="Q13" s="73"/>
      <c r="R13" s="173">
        <v>1.0</v>
      </c>
      <c r="S13" s="173">
        <v>2.0</v>
      </c>
      <c r="T13" s="173">
        <v>3.0</v>
      </c>
      <c r="U13" s="173">
        <v>4.0</v>
      </c>
      <c r="V13" s="173">
        <v>5.0</v>
      </c>
      <c r="W13" s="171"/>
      <c r="X13" s="163"/>
      <c r="Y13" s="163"/>
      <c r="Z13" s="163"/>
    </row>
    <row r="14" ht="21.75" customHeight="1">
      <c r="A14" s="174"/>
      <c r="B14" s="172"/>
      <c r="C14" s="165"/>
      <c r="D14" s="232" t="s">
        <v>169</v>
      </c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65"/>
      <c r="R14" s="165"/>
      <c r="S14" s="165"/>
      <c r="T14" s="165"/>
      <c r="U14" s="165"/>
      <c r="V14" s="165"/>
      <c r="W14" s="179"/>
      <c r="X14" s="174"/>
      <c r="Y14" s="174"/>
      <c r="Z14" s="174"/>
    </row>
    <row r="15" ht="21.75" customHeight="1">
      <c r="A15" s="174"/>
      <c r="B15" s="172"/>
      <c r="C15" s="178">
        <v>1.0</v>
      </c>
      <c r="D15" s="174"/>
      <c r="E15" s="174" t="s">
        <v>170</v>
      </c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8">
        <v>10.0</v>
      </c>
      <c r="R15" s="178"/>
      <c r="S15" s="178"/>
      <c r="T15" s="178"/>
      <c r="U15" s="178"/>
      <c r="V15" s="178" t="s">
        <v>171</v>
      </c>
      <c r="W15" s="179"/>
      <c r="X15" s="174"/>
      <c r="Y15" s="174"/>
      <c r="Z15" s="174">
        <f t="shared" ref="Z15:Z21" si="1">(5/5)*Q15</f>
        <v>10</v>
      </c>
    </row>
    <row r="16" ht="21.75" customHeight="1">
      <c r="A16" s="174"/>
      <c r="B16" s="172"/>
      <c r="C16" s="180">
        <v>2.0</v>
      </c>
      <c r="D16" s="181"/>
      <c r="E16" s="181" t="s">
        <v>172</v>
      </c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0">
        <v>10.0</v>
      </c>
      <c r="R16" s="180"/>
      <c r="S16" s="180"/>
      <c r="T16" s="180"/>
      <c r="U16" s="180"/>
      <c r="V16" s="180" t="s">
        <v>171</v>
      </c>
      <c r="W16" s="179"/>
      <c r="X16" s="174"/>
      <c r="Y16" s="174"/>
      <c r="Z16" s="174">
        <f t="shared" si="1"/>
        <v>10</v>
      </c>
    </row>
    <row r="17" ht="18.0" customHeight="1">
      <c r="A17" s="174"/>
      <c r="B17" s="172"/>
      <c r="C17" s="180">
        <v>3.0</v>
      </c>
      <c r="D17" s="181"/>
      <c r="E17" s="181" t="s">
        <v>173</v>
      </c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0">
        <v>10.0</v>
      </c>
      <c r="R17" s="180"/>
      <c r="S17" s="180"/>
      <c r="T17" s="180"/>
      <c r="U17" s="180"/>
      <c r="V17" s="180" t="s">
        <v>171</v>
      </c>
      <c r="W17" s="179"/>
      <c r="X17" s="174"/>
      <c r="Y17" s="174"/>
      <c r="Z17" s="174">
        <f t="shared" si="1"/>
        <v>10</v>
      </c>
    </row>
    <row r="18" ht="18.0" customHeight="1">
      <c r="A18" s="174"/>
      <c r="B18" s="172"/>
      <c r="C18" s="180">
        <v>4.0</v>
      </c>
      <c r="D18" s="181"/>
      <c r="E18" s="181" t="s">
        <v>174</v>
      </c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0">
        <v>10.0</v>
      </c>
      <c r="R18" s="180"/>
      <c r="S18" s="180"/>
      <c r="T18" s="180"/>
      <c r="U18" s="180"/>
      <c r="V18" s="180" t="s">
        <v>171</v>
      </c>
      <c r="W18" s="179"/>
      <c r="X18" s="174"/>
      <c r="Y18" s="174"/>
      <c r="Z18" s="174">
        <f t="shared" si="1"/>
        <v>10</v>
      </c>
    </row>
    <row r="19" ht="18.0" customHeight="1">
      <c r="A19" s="174"/>
      <c r="B19" s="172"/>
      <c r="C19" s="180">
        <v>5.0</v>
      </c>
      <c r="D19" s="181"/>
      <c r="E19" s="174" t="s">
        <v>175</v>
      </c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0">
        <v>10.0</v>
      </c>
      <c r="R19" s="180"/>
      <c r="S19" s="180"/>
      <c r="T19" s="180"/>
      <c r="U19" s="180"/>
      <c r="V19" s="180" t="s">
        <v>171</v>
      </c>
      <c r="W19" s="179"/>
      <c r="X19" s="174"/>
      <c r="Y19" s="174"/>
      <c r="Z19" s="174">
        <f t="shared" si="1"/>
        <v>10</v>
      </c>
    </row>
    <row r="20" ht="18.0" customHeight="1">
      <c r="A20" s="174"/>
      <c r="B20" s="172"/>
      <c r="C20" s="180">
        <v>6.0</v>
      </c>
      <c r="D20" s="181"/>
      <c r="E20" s="181" t="s">
        <v>176</v>
      </c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0">
        <v>10.0</v>
      </c>
      <c r="R20" s="180"/>
      <c r="S20" s="180"/>
      <c r="T20" s="180"/>
      <c r="U20" s="180"/>
      <c r="V20" s="180" t="s">
        <v>171</v>
      </c>
      <c r="W20" s="179"/>
      <c r="X20" s="174"/>
      <c r="Y20" s="174"/>
      <c r="Z20" s="174">
        <f t="shared" si="1"/>
        <v>10</v>
      </c>
    </row>
    <row r="21" ht="18.0" customHeight="1">
      <c r="A21" s="174"/>
      <c r="B21" s="172"/>
      <c r="C21" s="180">
        <v>7.0</v>
      </c>
      <c r="D21" s="181"/>
      <c r="E21" s="181" t="s">
        <v>220</v>
      </c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0">
        <v>10.0</v>
      </c>
      <c r="R21" s="180"/>
      <c r="S21" s="180"/>
      <c r="T21" s="180"/>
      <c r="U21" s="180"/>
      <c r="V21" s="180" t="s">
        <v>171</v>
      </c>
      <c r="W21" s="179"/>
      <c r="X21" s="174"/>
      <c r="Y21" s="174"/>
      <c r="Z21" s="174">
        <f t="shared" si="1"/>
        <v>10</v>
      </c>
    </row>
    <row r="22" ht="21.75" customHeight="1">
      <c r="A22" s="163"/>
      <c r="B22" s="164"/>
      <c r="C22" s="184"/>
      <c r="D22" s="176" t="s">
        <v>177</v>
      </c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84"/>
      <c r="R22" s="184"/>
      <c r="S22" s="184"/>
      <c r="T22" s="184"/>
      <c r="U22" s="184"/>
      <c r="V22" s="184"/>
      <c r="W22" s="171"/>
      <c r="X22" s="163"/>
      <c r="Y22" s="163"/>
      <c r="Z22" s="174"/>
    </row>
    <row r="23" ht="36.0" customHeight="1">
      <c r="A23" s="174"/>
      <c r="B23" s="172"/>
      <c r="C23" s="177">
        <v>8.0</v>
      </c>
      <c r="D23" s="185"/>
      <c r="E23" s="186" t="s">
        <v>178</v>
      </c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87"/>
      <c r="Q23" s="177">
        <v>5.0</v>
      </c>
      <c r="R23" s="177"/>
      <c r="S23" s="177"/>
      <c r="T23" s="177"/>
      <c r="U23" s="177"/>
      <c r="V23" s="177" t="s">
        <v>171</v>
      </c>
      <c r="W23" s="179"/>
      <c r="X23" s="174"/>
      <c r="Y23" s="174"/>
      <c r="Z23" s="174">
        <f t="shared" ref="Z23:Z25" si="2">(5/5)*Q23</f>
        <v>5</v>
      </c>
    </row>
    <row r="24" ht="21.75" customHeight="1">
      <c r="A24" s="174"/>
      <c r="B24" s="172"/>
      <c r="C24" s="180">
        <v>9.0</v>
      </c>
      <c r="D24" s="181"/>
      <c r="E24" s="181" t="s">
        <v>179</v>
      </c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0">
        <v>10.0</v>
      </c>
      <c r="R24" s="180"/>
      <c r="S24" s="180"/>
      <c r="T24" s="180"/>
      <c r="U24" s="180"/>
      <c r="V24" s="180" t="s">
        <v>171</v>
      </c>
      <c r="W24" s="179"/>
      <c r="X24" s="174"/>
      <c r="Y24" s="174"/>
      <c r="Z24" s="174">
        <f t="shared" si="2"/>
        <v>10</v>
      </c>
    </row>
    <row r="25" ht="36.0" customHeight="1">
      <c r="A25" s="174"/>
      <c r="B25" s="172"/>
      <c r="C25" s="177">
        <v>10.0</v>
      </c>
      <c r="D25" s="185"/>
      <c r="E25" s="186" t="s">
        <v>180</v>
      </c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87"/>
      <c r="Q25" s="177">
        <v>5.0</v>
      </c>
      <c r="R25" s="177"/>
      <c r="S25" s="177"/>
      <c r="T25" s="177"/>
      <c r="U25" s="177"/>
      <c r="V25" s="177" t="s">
        <v>171</v>
      </c>
      <c r="W25" s="179"/>
      <c r="X25" s="174"/>
      <c r="Y25" s="174"/>
      <c r="Z25" s="174">
        <f t="shared" si="2"/>
        <v>5</v>
      </c>
    </row>
    <row r="26" ht="21.75" customHeight="1">
      <c r="A26" s="174"/>
      <c r="B26" s="172"/>
      <c r="C26" s="180">
        <v>11.0</v>
      </c>
      <c r="D26" s="181"/>
      <c r="E26" s="181" t="s">
        <v>181</v>
      </c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0"/>
      <c r="R26" s="180"/>
      <c r="S26" s="180"/>
      <c r="T26" s="180"/>
      <c r="U26" s="180"/>
      <c r="V26" s="180"/>
      <c r="W26" s="179"/>
      <c r="X26" s="174"/>
      <c r="Y26" s="174"/>
      <c r="Z26" s="174"/>
    </row>
    <row r="27" ht="21.75" customHeight="1">
      <c r="A27" s="174"/>
      <c r="B27" s="172"/>
      <c r="C27" s="180"/>
      <c r="D27" s="181"/>
      <c r="E27" s="181" t="s">
        <v>182</v>
      </c>
      <c r="F27" s="181" t="s">
        <v>183</v>
      </c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0">
        <v>5.0</v>
      </c>
      <c r="R27" s="180"/>
      <c r="S27" s="180"/>
      <c r="T27" s="180"/>
      <c r="U27" s="180"/>
      <c r="V27" s="180" t="s">
        <v>171</v>
      </c>
      <c r="W27" s="179"/>
      <c r="X27" s="174"/>
      <c r="Y27" s="174"/>
      <c r="Z27" s="174">
        <f t="shared" ref="Z27:Z35" si="3">(5/5)*Q27</f>
        <v>5</v>
      </c>
    </row>
    <row r="28" ht="21.75" customHeight="1">
      <c r="A28" s="174"/>
      <c r="B28" s="172"/>
      <c r="C28" s="180"/>
      <c r="D28" s="181"/>
      <c r="E28" s="181" t="s">
        <v>182</v>
      </c>
      <c r="F28" s="181" t="s">
        <v>184</v>
      </c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0">
        <v>5.0</v>
      </c>
      <c r="R28" s="180"/>
      <c r="S28" s="180"/>
      <c r="T28" s="180"/>
      <c r="U28" s="180"/>
      <c r="V28" s="180" t="s">
        <v>171</v>
      </c>
      <c r="W28" s="179"/>
      <c r="X28" s="174"/>
      <c r="Y28" s="174"/>
      <c r="Z28" s="174">
        <f t="shared" si="3"/>
        <v>5</v>
      </c>
    </row>
    <row r="29" ht="21.75" customHeight="1">
      <c r="A29" s="174"/>
      <c r="B29" s="172"/>
      <c r="C29" s="180"/>
      <c r="D29" s="181"/>
      <c r="E29" s="181" t="s">
        <v>182</v>
      </c>
      <c r="F29" s="181" t="s">
        <v>185</v>
      </c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0">
        <v>5.0</v>
      </c>
      <c r="R29" s="180"/>
      <c r="S29" s="180"/>
      <c r="T29" s="180"/>
      <c r="U29" s="180"/>
      <c r="V29" s="180" t="s">
        <v>171</v>
      </c>
      <c r="W29" s="179"/>
      <c r="X29" s="174"/>
      <c r="Y29" s="174"/>
      <c r="Z29" s="174">
        <f t="shared" si="3"/>
        <v>5</v>
      </c>
    </row>
    <row r="30" ht="36.0" customHeight="1">
      <c r="A30" s="174"/>
      <c r="B30" s="172"/>
      <c r="C30" s="180"/>
      <c r="D30" s="181"/>
      <c r="E30" s="181" t="s">
        <v>182</v>
      </c>
      <c r="F30" s="188" t="s">
        <v>186</v>
      </c>
      <c r="G30" s="155"/>
      <c r="H30" s="155"/>
      <c r="I30" s="155"/>
      <c r="J30" s="155"/>
      <c r="K30" s="155"/>
      <c r="L30" s="155"/>
      <c r="M30" s="155"/>
      <c r="N30" s="155"/>
      <c r="O30" s="155"/>
      <c r="P30" s="189"/>
      <c r="Q30" s="180">
        <v>5.0</v>
      </c>
      <c r="R30" s="180"/>
      <c r="S30" s="180"/>
      <c r="T30" s="180"/>
      <c r="U30" s="180"/>
      <c r="V30" s="180" t="s">
        <v>171</v>
      </c>
      <c r="W30" s="179"/>
      <c r="X30" s="174"/>
      <c r="Y30" s="174"/>
      <c r="Z30" s="174">
        <f t="shared" si="3"/>
        <v>5</v>
      </c>
    </row>
    <row r="31" ht="36.0" customHeight="1">
      <c r="A31" s="191"/>
      <c r="B31" s="233"/>
      <c r="C31" s="234">
        <v>12.0</v>
      </c>
      <c r="D31" s="190"/>
      <c r="E31" s="188" t="s">
        <v>187</v>
      </c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89"/>
      <c r="Q31" s="180">
        <v>5.0</v>
      </c>
      <c r="R31" s="234"/>
      <c r="S31" s="234"/>
      <c r="T31" s="234"/>
      <c r="U31" s="234"/>
      <c r="V31" s="234" t="s">
        <v>171</v>
      </c>
      <c r="W31" s="235"/>
      <c r="X31" s="191"/>
      <c r="Y31" s="191"/>
      <c r="Z31" s="174">
        <f t="shared" si="3"/>
        <v>5</v>
      </c>
    </row>
    <row r="32" ht="21.75" customHeight="1">
      <c r="A32" s="174"/>
      <c r="B32" s="172"/>
      <c r="C32" s="180">
        <v>13.0</v>
      </c>
      <c r="D32" s="181"/>
      <c r="E32" s="181" t="s">
        <v>188</v>
      </c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0">
        <v>5.0</v>
      </c>
      <c r="R32" s="180"/>
      <c r="S32" s="180"/>
      <c r="T32" s="180"/>
      <c r="U32" s="180"/>
      <c r="V32" s="180" t="s">
        <v>171</v>
      </c>
      <c r="W32" s="179"/>
      <c r="X32" s="174"/>
      <c r="Y32" s="174"/>
      <c r="Z32" s="174">
        <f t="shared" si="3"/>
        <v>5</v>
      </c>
    </row>
    <row r="33" ht="36.0" customHeight="1">
      <c r="A33" s="174"/>
      <c r="B33" s="172"/>
      <c r="C33" s="180">
        <v>14.0</v>
      </c>
      <c r="D33" s="181"/>
      <c r="E33" s="188" t="s">
        <v>189</v>
      </c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89"/>
      <c r="Q33" s="180">
        <v>10.0</v>
      </c>
      <c r="R33" s="180"/>
      <c r="S33" s="180"/>
      <c r="T33" s="180"/>
      <c r="U33" s="180"/>
      <c r="V33" s="180" t="s">
        <v>171</v>
      </c>
      <c r="W33" s="179"/>
      <c r="X33" s="174"/>
      <c r="Y33" s="174"/>
      <c r="Z33" s="174">
        <f t="shared" si="3"/>
        <v>10</v>
      </c>
    </row>
    <row r="34" ht="36.0" customHeight="1">
      <c r="A34" s="174"/>
      <c r="B34" s="172"/>
      <c r="C34" s="180">
        <v>15.0</v>
      </c>
      <c r="D34" s="181"/>
      <c r="E34" s="188" t="s">
        <v>190</v>
      </c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89"/>
      <c r="Q34" s="180">
        <v>5.0</v>
      </c>
      <c r="R34" s="180"/>
      <c r="S34" s="180"/>
      <c r="T34" s="180"/>
      <c r="U34" s="180"/>
      <c r="V34" s="180" t="s">
        <v>171</v>
      </c>
      <c r="W34" s="179"/>
      <c r="X34" s="174"/>
      <c r="Y34" s="174"/>
      <c r="Z34" s="174">
        <f t="shared" si="3"/>
        <v>5</v>
      </c>
    </row>
    <row r="35" ht="21.75" customHeight="1">
      <c r="A35" s="174"/>
      <c r="B35" s="172"/>
      <c r="C35" s="180">
        <v>16.0</v>
      </c>
      <c r="D35" s="181"/>
      <c r="E35" s="181" t="s">
        <v>191</v>
      </c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0">
        <v>5.0</v>
      </c>
      <c r="R35" s="180"/>
      <c r="S35" s="180"/>
      <c r="T35" s="180"/>
      <c r="U35" s="180"/>
      <c r="V35" s="180" t="s">
        <v>171</v>
      </c>
      <c r="W35" s="179"/>
      <c r="X35" s="174"/>
      <c r="Y35" s="174"/>
      <c r="Z35" s="174">
        <f t="shared" si="3"/>
        <v>5</v>
      </c>
    </row>
    <row r="36" ht="4.5" customHeight="1">
      <c r="A36" s="174"/>
      <c r="B36" s="172"/>
      <c r="C36" s="193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3"/>
      <c r="R36" s="193"/>
      <c r="S36" s="193"/>
      <c r="T36" s="193"/>
      <c r="U36" s="193"/>
      <c r="V36" s="195"/>
      <c r="W36" s="179"/>
      <c r="X36" s="174"/>
      <c r="Y36" s="174"/>
      <c r="Z36" s="174"/>
    </row>
    <row r="37" ht="15.0" customHeight="1">
      <c r="A37" s="174"/>
      <c r="B37" s="236"/>
      <c r="C37" s="237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7"/>
      <c r="R37" s="237"/>
      <c r="S37" s="237"/>
      <c r="T37" s="237"/>
      <c r="U37" s="237"/>
      <c r="V37" s="237"/>
      <c r="W37" s="239"/>
      <c r="X37" s="174"/>
      <c r="Y37" s="174"/>
      <c r="Z37" s="174"/>
    </row>
    <row r="38" ht="21.75" customHeight="1">
      <c r="A38" s="174"/>
      <c r="B38" s="240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241"/>
      <c r="R38" s="241"/>
      <c r="S38" s="241"/>
      <c r="T38" s="241"/>
      <c r="U38" s="241"/>
      <c r="V38" s="241"/>
      <c r="W38" s="242"/>
      <c r="X38" s="174"/>
      <c r="Y38" s="174"/>
      <c r="Z38" s="174"/>
    </row>
    <row r="39" ht="18.75" customHeight="1">
      <c r="A39" s="163"/>
      <c r="B39" s="164"/>
      <c r="C39" s="165" t="s">
        <v>160</v>
      </c>
      <c r="D39" s="166" t="s">
        <v>161</v>
      </c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8"/>
      <c r="Q39" s="169" t="s">
        <v>162</v>
      </c>
      <c r="R39" s="170" t="s">
        <v>163</v>
      </c>
      <c r="S39" s="2"/>
      <c r="T39" s="2"/>
      <c r="U39" s="2"/>
      <c r="V39" s="3"/>
      <c r="W39" s="171"/>
      <c r="X39" s="163"/>
      <c r="Y39" s="163"/>
      <c r="Z39" s="163"/>
    </row>
    <row r="40" ht="18.75" customHeight="1">
      <c r="A40" s="163"/>
      <c r="B40" s="172"/>
      <c r="C40" s="68"/>
      <c r="D40" s="66"/>
      <c r="P40" s="67"/>
      <c r="Q40" s="68"/>
      <c r="R40" s="173" t="s">
        <v>164</v>
      </c>
      <c r="S40" s="173" t="s">
        <v>165</v>
      </c>
      <c r="T40" s="173" t="s">
        <v>166</v>
      </c>
      <c r="U40" s="173" t="s">
        <v>167</v>
      </c>
      <c r="V40" s="173" t="s">
        <v>168</v>
      </c>
      <c r="W40" s="171"/>
      <c r="X40" s="163"/>
      <c r="Y40" s="163"/>
      <c r="Z40" s="163"/>
    </row>
    <row r="41" ht="18.0" customHeight="1">
      <c r="A41" s="163"/>
      <c r="B41" s="172"/>
      <c r="C41" s="73"/>
      <c r="D41" s="70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2"/>
      <c r="Q41" s="73"/>
      <c r="R41" s="173">
        <v>1.0</v>
      </c>
      <c r="S41" s="173">
        <v>2.0</v>
      </c>
      <c r="T41" s="173">
        <v>3.0</v>
      </c>
      <c r="U41" s="173">
        <v>4.0</v>
      </c>
      <c r="V41" s="173">
        <v>5.0</v>
      </c>
      <c r="W41" s="171"/>
      <c r="X41" s="163"/>
      <c r="Y41" s="163"/>
      <c r="Z41" s="163"/>
    </row>
    <row r="42" ht="21.75" customHeight="1">
      <c r="A42" s="174"/>
      <c r="B42" s="172"/>
      <c r="C42" s="178"/>
      <c r="D42" s="176" t="s">
        <v>192</v>
      </c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8"/>
      <c r="R42" s="178"/>
      <c r="S42" s="178"/>
      <c r="T42" s="178"/>
      <c r="U42" s="178"/>
      <c r="V42" s="178"/>
      <c r="W42" s="179"/>
      <c r="X42" s="174"/>
      <c r="Y42" s="174"/>
      <c r="Z42" s="174"/>
    </row>
    <row r="43" ht="34.5" customHeight="1">
      <c r="A43" s="174"/>
      <c r="B43" s="172"/>
      <c r="C43" s="178">
        <v>17.0</v>
      </c>
      <c r="D43" s="174"/>
      <c r="E43" s="202" t="s">
        <v>193</v>
      </c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87"/>
      <c r="Q43" s="178">
        <v>10.0</v>
      </c>
      <c r="R43" s="178"/>
      <c r="S43" s="178"/>
      <c r="T43" s="178"/>
      <c r="U43" s="178" t="s">
        <v>171</v>
      </c>
      <c r="V43" s="178"/>
      <c r="W43" s="179"/>
      <c r="X43" s="174"/>
      <c r="Y43" s="174"/>
      <c r="Z43" s="174">
        <f t="shared" ref="Z43:Z49" si="4">(4/5)*Q43</f>
        <v>8</v>
      </c>
    </row>
    <row r="44" ht="21.75" customHeight="1">
      <c r="A44" s="174"/>
      <c r="B44" s="172"/>
      <c r="C44" s="180">
        <v>18.0</v>
      </c>
      <c r="D44" s="181"/>
      <c r="E44" s="181" t="s">
        <v>194</v>
      </c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0">
        <v>10.0</v>
      </c>
      <c r="R44" s="180"/>
      <c r="S44" s="180"/>
      <c r="T44" s="180"/>
      <c r="U44" s="180" t="s">
        <v>171</v>
      </c>
      <c r="V44" s="180"/>
      <c r="W44" s="179"/>
      <c r="X44" s="174"/>
      <c r="Y44" s="174"/>
      <c r="Z44" s="174">
        <f t="shared" si="4"/>
        <v>8</v>
      </c>
    </row>
    <row r="45" ht="21.75" customHeight="1">
      <c r="A45" s="174"/>
      <c r="B45" s="172"/>
      <c r="C45" s="178"/>
      <c r="D45" s="176" t="s">
        <v>195</v>
      </c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8"/>
      <c r="R45" s="178"/>
      <c r="S45" s="178"/>
      <c r="T45" s="178"/>
      <c r="U45" s="178"/>
      <c r="V45" s="178"/>
      <c r="W45" s="179"/>
      <c r="X45" s="174"/>
      <c r="Y45" s="174"/>
      <c r="Z45" s="174">
        <f t="shared" si="4"/>
        <v>0</v>
      </c>
    </row>
    <row r="46" ht="34.5" customHeight="1">
      <c r="A46" s="174"/>
      <c r="B46" s="172"/>
      <c r="C46" s="178">
        <v>19.0</v>
      </c>
      <c r="D46" s="174"/>
      <c r="E46" s="202" t="s">
        <v>196</v>
      </c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87"/>
      <c r="Q46" s="178">
        <v>10.0</v>
      </c>
      <c r="R46" s="178"/>
      <c r="S46" s="178"/>
      <c r="T46" s="178"/>
      <c r="U46" s="178" t="s">
        <v>171</v>
      </c>
      <c r="V46" s="178"/>
      <c r="W46" s="179"/>
      <c r="X46" s="174"/>
      <c r="Y46" s="174"/>
      <c r="Z46" s="174">
        <f t="shared" si="4"/>
        <v>8</v>
      </c>
    </row>
    <row r="47" ht="21.75" customHeight="1">
      <c r="A47" s="174"/>
      <c r="B47" s="172"/>
      <c r="C47" s="180">
        <v>20.0</v>
      </c>
      <c r="D47" s="181"/>
      <c r="E47" s="181" t="s">
        <v>221</v>
      </c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0">
        <v>10.0</v>
      </c>
      <c r="R47" s="180"/>
      <c r="S47" s="180"/>
      <c r="T47" s="180"/>
      <c r="U47" s="180" t="s">
        <v>171</v>
      </c>
      <c r="V47" s="180"/>
      <c r="W47" s="179"/>
      <c r="X47" s="174"/>
      <c r="Y47" s="174"/>
      <c r="Z47" s="174">
        <f t="shared" si="4"/>
        <v>8</v>
      </c>
    </row>
    <row r="48" ht="21.75" customHeight="1">
      <c r="A48" s="174"/>
      <c r="B48" s="172"/>
      <c r="C48" s="180">
        <v>21.0</v>
      </c>
      <c r="D48" s="181"/>
      <c r="E48" s="181" t="s">
        <v>199</v>
      </c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0">
        <v>10.0</v>
      </c>
      <c r="R48" s="180"/>
      <c r="S48" s="180"/>
      <c r="T48" s="180"/>
      <c r="U48" s="180" t="s">
        <v>171</v>
      </c>
      <c r="V48" s="180"/>
      <c r="W48" s="179"/>
      <c r="X48" s="174"/>
      <c r="Y48" s="174"/>
      <c r="Z48" s="174">
        <f t="shared" si="4"/>
        <v>8</v>
      </c>
    </row>
    <row r="49" ht="21.75" customHeight="1">
      <c r="A49" s="174"/>
      <c r="B49" s="172"/>
      <c r="C49" s="180">
        <v>22.0</v>
      </c>
      <c r="D49" s="181"/>
      <c r="E49" s="181" t="s">
        <v>200</v>
      </c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0">
        <v>10.0</v>
      </c>
      <c r="R49" s="180"/>
      <c r="S49" s="180"/>
      <c r="T49" s="180"/>
      <c r="U49" s="180" t="s">
        <v>171</v>
      </c>
      <c r="V49" s="180"/>
      <c r="W49" s="179"/>
      <c r="X49" s="174"/>
      <c r="Y49" s="174"/>
      <c r="Z49" s="174">
        <f t="shared" si="4"/>
        <v>8</v>
      </c>
    </row>
    <row r="50" ht="4.5" customHeight="1">
      <c r="A50" s="174"/>
      <c r="B50" s="172"/>
      <c r="C50" s="193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3"/>
      <c r="R50" s="193"/>
      <c r="S50" s="193"/>
      <c r="T50" s="193"/>
      <c r="U50" s="193"/>
      <c r="V50" s="195"/>
      <c r="W50" s="179"/>
      <c r="X50" s="174"/>
      <c r="Y50" s="174"/>
      <c r="Z50" s="174"/>
    </row>
    <row r="51" ht="21.75" customHeight="1">
      <c r="A51" s="203"/>
      <c r="B51" s="212"/>
      <c r="C51" s="243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  <c r="P51" s="245" t="s">
        <v>201</v>
      </c>
      <c r="Q51" s="246">
        <f>SUM(Q43:Q50,Q15:Q35)</f>
        <v>200</v>
      </c>
      <c r="R51" s="208"/>
      <c r="S51" s="208"/>
      <c r="T51" s="208"/>
      <c r="U51" s="208"/>
      <c r="V51" s="208"/>
      <c r="W51" s="218"/>
      <c r="X51" s="203"/>
      <c r="Y51" s="203"/>
      <c r="Z51" s="203"/>
    </row>
    <row r="52" ht="21.75" customHeight="1">
      <c r="A52" s="174"/>
      <c r="B52" s="172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174"/>
      <c r="S52" s="204"/>
      <c r="T52" s="210" t="s">
        <v>201</v>
      </c>
      <c r="U52" s="247">
        <f>SUM(Z15:Z49)</f>
        <v>188</v>
      </c>
      <c r="V52" s="3"/>
      <c r="W52" s="179"/>
      <c r="X52" s="174"/>
      <c r="Y52" s="174"/>
      <c r="Z52" s="174"/>
    </row>
    <row r="53" ht="21.75" customHeight="1">
      <c r="A53" s="209"/>
      <c r="B53" s="248"/>
      <c r="C53" s="249" t="s">
        <v>202</v>
      </c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50"/>
      <c r="R53" s="209"/>
      <c r="S53" s="215"/>
      <c r="T53" s="216" t="s">
        <v>203</v>
      </c>
      <c r="U53" s="215">
        <f>U52/2</f>
        <v>94</v>
      </c>
      <c r="V53" s="3"/>
      <c r="W53" s="251"/>
      <c r="X53" s="209"/>
      <c r="Y53" s="209"/>
      <c r="Z53" s="209"/>
    </row>
    <row r="54" ht="21.75" customHeight="1">
      <c r="A54" s="209"/>
      <c r="B54" s="248"/>
      <c r="C54" s="250"/>
      <c r="D54" s="209"/>
      <c r="E54" s="209" t="s">
        <v>204</v>
      </c>
      <c r="F54" s="209"/>
      <c r="G54" s="209"/>
      <c r="H54" s="250"/>
      <c r="I54" s="209"/>
      <c r="J54" s="209"/>
      <c r="K54" s="209"/>
      <c r="L54" s="209"/>
      <c r="M54" s="209"/>
      <c r="N54" s="209" t="s">
        <v>205</v>
      </c>
      <c r="O54" s="209"/>
      <c r="P54" s="209"/>
      <c r="Q54" s="250"/>
      <c r="R54" s="250"/>
      <c r="S54" s="250"/>
      <c r="T54" s="250"/>
      <c r="U54" s="250"/>
      <c r="V54" s="250"/>
      <c r="W54" s="251"/>
      <c r="X54" s="209"/>
      <c r="Y54" s="209"/>
      <c r="Z54" s="209"/>
    </row>
    <row r="55" ht="21.75" customHeight="1">
      <c r="A55" s="209"/>
      <c r="B55" s="248"/>
      <c r="C55" s="252" t="s">
        <v>222</v>
      </c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50"/>
      <c r="R55" s="250"/>
      <c r="S55" s="250"/>
      <c r="T55" s="250"/>
      <c r="U55" s="250"/>
      <c r="V55" s="250"/>
      <c r="W55" s="251"/>
      <c r="X55" s="209"/>
      <c r="Y55" s="209"/>
      <c r="Z55" s="209"/>
    </row>
    <row r="56" ht="19.5" customHeight="1">
      <c r="A56" s="209"/>
      <c r="B56" s="248"/>
      <c r="C56" s="250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50"/>
      <c r="R56" s="250"/>
      <c r="S56" s="250"/>
      <c r="T56" s="250"/>
      <c r="U56" s="250"/>
      <c r="V56" s="250"/>
      <c r="W56" s="251"/>
      <c r="X56" s="209"/>
      <c r="Y56" s="209"/>
      <c r="Z56" s="209"/>
    </row>
    <row r="57" ht="21.75" customHeight="1">
      <c r="A57" s="209"/>
      <c r="B57" s="248"/>
      <c r="C57" s="249" t="s">
        <v>207</v>
      </c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50"/>
      <c r="R57" s="250"/>
      <c r="S57" s="250"/>
      <c r="T57" s="250"/>
      <c r="U57" s="250"/>
      <c r="V57" s="250"/>
      <c r="W57" s="251"/>
      <c r="X57" s="209"/>
      <c r="Y57" s="209"/>
      <c r="Z57" s="209"/>
    </row>
    <row r="58" ht="21.75" customHeight="1">
      <c r="A58" s="203"/>
      <c r="B58" s="212"/>
      <c r="C58" s="220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0"/>
      <c r="R58" s="220"/>
      <c r="S58" s="220"/>
      <c r="T58" s="220"/>
      <c r="U58" s="220"/>
      <c r="V58" s="220"/>
      <c r="W58" s="218"/>
      <c r="X58" s="203"/>
      <c r="Y58" s="203"/>
      <c r="Z58" s="203"/>
    </row>
    <row r="59" ht="21.75" customHeight="1">
      <c r="A59" s="203"/>
      <c r="B59" s="212"/>
      <c r="C59" s="222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2"/>
      <c r="R59" s="222"/>
      <c r="S59" s="222"/>
      <c r="T59" s="222"/>
      <c r="U59" s="222"/>
      <c r="V59" s="222"/>
      <c r="W59" s="218"/>
      <c r="X59" s="203"/>
      <c r="Y59" s="203"/>
      <c r="Z59" s="203"/>
    </row>
    <row r="60" ht="21.75" customHeight="1">
      <c r="A60" s="203"/>
      <c r="B60" s="212"/>
      <c r="C60" s="222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2"/>
      <c r="R60" s="222"/>
      <c r="S60" s="222"/>
      <c r="T60" s="222"/>
      <c r="U60" s="222"/>
      <c r="V60" s="222"/>
      <c r="W60" s="218"/>
      <c r="X60" s="203"/>
      <c r="Y60" s="203"/>
      <c r="Z60" s="203"/>
    </row>
    <row r="61" ht="21.75" customHeight="1">
      <c r="A61" s="203"/>
      <c r="B61" s="212"/>
      <c r="C61" s="222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2"/>
      <c r="R61" s="222"/>
      <c r="S61" s="222"/>
      <c r="T61" s="222"/>
      <c r="U61" s="222"/>
      <c r="V61" s="222"/>
      <c r="W61" s="218"/>
      <c r="X61" s="203"/>
      <c r="Y61" s="203"/>
      <c r="Z61" s="203"/>
    </row>
    <row r="62" ht="21.75" customHeight="1">
      <c r="A62" s="203"/>
      <c r="B62" s="212"/>
      <c r="C62" s="214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14"/>
      <c r="R62" s="214"/>
      <c r="S62" s="214"/>
      <c r="T62" s="214"/>
      <c r="U62" s="214"/>
      <c r="V62" s="214"/>
      <c r="W62" s="218"/>
      <c r="X62" s="203"/>
      <c r="Y62" s="203"/>
      <c r="Z62" s="203"/>
    </row>
    <row r="63" ht="21.75" customHeight="1">
      <c r="A63" s="203"/>
      <c r="B63" s="212"/>
      <c r="C63" s="214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14"/>
      <c r="R63" s="214"/>
      <c r="S63" s="214"/>
      <c r="T63" s="214"/>
      <c r="U63" s="214"/>
      <c r="V63" s="214"/>
      <c r="W63" s="218"/>
      <c r="X63" s="203"/>
      <c r="Y63" s="203"/>
      <c r="Z63" s="203"/>
    </row>
    <row r="64" ht="21.75" customHeight="1">
      <c r="A64" s="224"/>
      <c r="B64" s="225"/>
      <c r="C64" s="149" t="s">
        <v>208</v>
      </c>
      <c r="D64" s="226"/>
      <c r="E64" s="226"/>
      <c r="F64" s="226"/>
      <c r="G64" s="226"/>
      <c r="H64" s="226"/>
      <c r="I64" s="226"/>
      <c r="J64" s="226"/>
      <c r="K64" s="224" t="s">
        <v>209</v>
      </c>
      <c r="L64" s="224"/>
      <c r="M64" s="224"/>
      <c r="N64" s="224"/>
      <c r="O64" s="149" t="s">
        <v>208</v>
      </c>
      <c r="P64" s="226"/>
      <c r="Q64" s="227"/>
      <c r="R64" s="226"/>
      <c r="S64" s="226"/>
      <c r="T64" s="226"/>
      <c r="U64" s="224" t="s">
        <v>210</v>
      </c>
      <c r="V64" s="224"/>
      <c r="W64" s="228"/>
      <c r="X64" s="224"/>
      <c r="Y64" s="224"/>
      <c r="Z64" s="224"/>
    </row>
    <row r="65" ht="21.75" customHeight="1">
      <c r="A65" s="224"/>
      <c r="B65" s="225"/>
      <c r="C65" s="149" t="s">
        <v>211</v>
      </c>
      <c r="D65" s="156" t="s">
        <v>150</v>
      </c>
      <c r="E65" s="151"/>
      <c r="F65" s="151"/>
      <c r="G65" s="151"/>
      <c r="H65" s="151"/>
      <c r="I65" s="151"/>
      <c r="J65" s="151"/>
      <c r="K65" s="224" t="s">
        <v>212</v>
      </c>
      <c r="L65" s="224"/>
      <c r="M65" s="224"/>
      <c r="N65" s="224"/>
      <c r="O65" s="149" t="s">
        <v>211</v>
      </c>
      <c r="P65" s="154"/>
      <c r="Q65" s="155"/>
      <c r="R65" s="155"/>
      <c r="S65" s="155"/>
      <c r="T65" s="155"/>
      <c r="U65" s="224" t="s">
        <v>213</v>
      </c>
      <c r="V65" s="224"/>
      <c r="W65" s="228"/>
      <c r="X65" s="224"/>
      <c r="Y65" s="224"/>
      <c r="Z65" s="224"/>
    </row>
    <row r="66" ht="21.75" customHeight="1">
      <c r="A66" s="224"/>
      <c r="B66" s="225"/>
      <c r="C66" s="224" t="s">
        <v>214</v>
      </c>
      <c r="D66" s="224"/>
      <c r="E66" s="154" t="s">
        <v>215</v>
      </c>
      <c r="F66" s="155"/>
      <c r="G66" s="155"/>
      <c r="H66" s="155"/>
      <c r="I66" s="155"/>
      <c r="J66" s="155"/>
      <c r="K66" s="224"/>
      <c r="L66" s="224"/>
      <c r="M66" s="224"/>
      <c r="N66" s="224"/>
      <c r="O66" s="224" t="s">
        <v>214</v>
      </c>
      <c r="P66" s="224"/>
      <c r="Q66" s="222" t="s">
        <v>223</v>
      </c>
      <c r="R66" s="155"/>
      <c r="S66" s="155"/>
      <c r="T66" s="155"/>
      <c r="U66" s="224"/>
      <c r="V66" s="224"/>
      <c r="W66" s="228"/>
      <c r="X66" s="224"/>
      <c r="Y66" s="224"/>
      <c r="Z66" s="224"/>
    </row>
    <row r="67" ht="21.75" customHeight="1">
      <c r="A67" s="224"/>
      <c r="B67" s="225"/>
      <c r="C67" s="224"/>
      <c r="D67" s="149" t="s">
        <v>216</v>
      </c>
      <c r="E67" s="229">
        <f>'รายวัน_ผู้ควบคุมงาน'!E68</f>
        <v>46021</v>
      </c>
      <c r="F67" s="155"/>
      <c r="G67" s="155"/>
      <c r="H67" s="155"/>
      <c r="I67" s="155"/>
      <c r="J67" s="155"/>
      <c r="K67" s="224"/>
      <c r="L67" s="224"/>
      <c r="M67" s="224"/>
      <c r="N67" s="224"/>
      <c r="O67" s="224"/>
      <c r="P67" s="149" t="s">
        <v>216</v>
      </c>
      <c r="Q67" s="229">
        <f>+E67</f>
        <v>46021</v>
      </c>
      <c r="R67" s="155"/>
      <c r="S67" s="155"/>
      <c r="T67" s="155"/>
      <c r="U67" s="224"/>
      <c r="V67" s="224"/>
      <c r="W67" s="228"/>
      <c r="X67" s="224"/>
      <c r="Y67" s="224"/>
      <c r="Z67" s="224"/>
    </row>
    <row r="68" ht="21.75" customHeight="1">
      <c r="A68" s="224"/>
      <c r="B68" s="225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19"/>
      <c r="R68" s="224"/>
      <c r="S68" s="224"/>
      <c r="T68" s="224"/>
      <c r="U68" s="224"/>
      <c r="V68" s="224"/>
      <c r="W68" s="228"/>
      <c r="X68" s="224"/>
      <c r="Y68" s="224"/>
      <c r="Z68" s="224"/>
    </row>
    <row r="69" ht="10.5" customHeight="1">
      <c r="A69" s="224"/>
      <c r="B69" s="225"/>
      <c r="C69" s="224"/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19"/>
      <c r="R69" s="224"/>
      <c r="S69" s="224"/>
      <c r="T69" s="224"/>
      <c r="U69" s="224"/>
      <c r="V69" s="224"/>
      <c r="W69" s="228"/>
      <c r="X69" s="224"/>
      <c r="Y69" s="224"/>
      <c r="Z69" s="224"/>
    </row>
    <row r="70" ht="21.75" customHeight="1">
      <c r="A70" s="224"/>
      <c r="B70" s="225"/>
      <c r="C70" s="224"/>
      <c r="D70" s="224"/>
      <c r="E70" s="224"/>
      <c r="F70" s="224"/>
      <c r="G70" s="224"/>
      <c r="H70" s="224"/>
      <c r="I70" s="224"/>
      <c r="J70" s="224"/>
      <c r="K70" s="224"/>
      <c r="L70" s="224"/>
      <c r="M70" s="149" t="s">
        <v>208</v>
      </c>
      <c r="N70" s="226"/>
      <c r="O70" s="226"/>
      <c r="P70" s="226"/>
      <c r="Q70" s="227"/>
      <c r="R70" s="226"/>
      <c r="S70" s="224"/>
      <c r="T70" s="224"/>
      <c r="U70" s="224"/>
      <c r="V70" s="224"/>
      <c r="W70" s="228"/>
      <c r="X70" s="224"/>
      <c r="Y70" s="224"/>
      <c r="Z70" s="224"/>
    </row>
    <row r="71" ht="21.75" customHeight="1">
      <c r="A71" s="224"/>
      <c r="B71" s="225"/>
      <c r="C71" s="224"/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30" t="s">
        <v>224</v>
      </c>
      <c r="S71" s="224"/>
      <c r="T71" s="224"/>
      <c r="U71" s="224"/>
      <c r="V71" s="224"/>
      <c r="W71" s="228"/>
      <c r="X71" s="224"/>
      <c r="Y71" s="224"/>
      <c r="Z71" s="224"/>
    </row>
    <row r="72" ht="21.75" customHeight="1">
      <c r="A72" s="224"/>
      <c r="B72" s="225"/>
      <c r="C72" s="224"/>
      <c r="D72" s="224"/>
      <c r="E72" s="224"/>
      <c r="F72" s="224"/>
      <c r="G72" s="224"/>
      <c r="H72" s="224"/>
      <c r="I72" s="224"/>
      <c r="J72" s="224"/>
      <c r="K72" s="224" t="s">
        <v>225</v>
      </c>
      <c r="L72" s="224"/>
      <c r="M72" s="224"/>
      <c r="N72" s="224"/>
      <c r="O72" s="224"/>
      <c r="P72" s="224"/>
      <c r="Q72" s="219"/>
      <c r="R72" s="224"/>
      <c r="S72" s="224"/>
      <c r="T72" s="224"/>
      <c r="U72" s="224"/>
      <c r="V72" s="224"/>
      <c r="W72" s="228"/>
      <c r="X72" s="224"/>
      <c r="Y72" s="224"/>
      <c r="Z72" s="224"/>
    </row>
    <row r="73" ht="21.75" customHeight="1">
      <c r="A73" s="224"/>
      <c r="B73" s="225"/>
      <c r="C73" s="224"/>
      <c r="D73" s="224"/>
      <c r="E73" s="224"/>
      <c r="F73" s="224"/>
      <c r="G73" s="224"/>
      <c r="H73" s="224"/>
      <c r="I73" s="224"/>
      <c r="J73" s="224"/>
      <c r="K73" s="224"/>
      <c r="L73" s="224"/>
      <c r="M73" s="149" t="s">
        <v>216</v>
      </c>
      <c r="N73" s="150">
        <f>+Q67</f>
        <v>46021</v>
      </c>
      <c r="O73" s="151"/>
      <c r="P73" s="151"/>
      <c r="Q73" s="151"/>
      <c r="R73" s="151"/>
      <c r="S73" s="224"/>
      <c r="T73" s="224"/>
      <c r="U73" s="224"/>
      <c r="V73" s="224"/>
      <c r="W73" s="228"/>
      <c r="X73" s="224"/>
      <c r="Y73" s="224"/>
      <c r="Z73" s="224"/>
    </row>
    <row r="74" ht="12.0" customHeight="1">
      <c r="A74" s="126"/>
      <c r="B74" s="139"/>
      <c r="C74" s="231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59"/>
      <c r="R74" s="140"/>
      <c r="S74" s="140"/>
      <c r="T74" s="140"/>
      <c r="U74" s="140"/>
      <c r="V74" s="140"/>
      <c r="W74" s="160"/>
      <c r="X74" s="126"/>
      <c r="Y74" s="126"/>
      <c r="Z74" s="126"/>
    </row>
    <row r="75" ht="21.7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203"/>
      <c r="R75" s="126"/>
      <c r="S75" s="126"/>
      <c r="T75" s="126"/>
      <c r="U75" s="126"/>
      <c r="V75" s="126"/>
      <c r="W75" s="126"/>
      <c r="X75" s="126"/>
      <c r="Y75" s="126"/>
      <c r="Z75" s="126"/>
    </row>
    <row r="76" ht="21.7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203"/>
      <c r="R76" s="126"/>
      <c r="S76" s="126"/>
      <c r="T76" s="126"/>
      <c r="U76" s="126"/>
      <c r="V76" s="126"/>
      <c r="W76" s="126"/>
      <c r="X76" s="126"/>
      <c r="Y76" s="126"/>
      <c r="Z76" s="126"/>
    </row>
    <row r="77" ht="21.7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203"/>
      <c r="R77" s="126"/>
      <c r="S77" s="126"/>
      <c r="T77" s="126"/>
      <c r="U77" s="126"/>
      <c r="V77" s="126"/>
      <c r="W77" s="126"/>
      <c r="X77" s="126"/>
      <c r="Y77" s="126"/>
      <c r="Z77" s="126"/>
    </row>
    <row r="78" ht="21.7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203"/>
      <c r="R78" s="126"/>
      <c r="S78" s="126"/>
      <c r="T78" s="126"/>
      <c r="U78" s="126"/>
      <c r="V78" s="126"/>
      <c r="W78" s="126"/>
      <c r="X78" s="126"/>
      <c r="Y78" s="126"/>
      <c r="Z78" s="126"/>
    </row>
    <row r="79" ht="21.7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203"/>
      <c r="R79" s="126"/>
      <c r="S79" s="126"/>
      <c r="T79" s="126"/>
      <c r="U79" s="126"/>
      <c r="V79" s="126"/>
      <c r="W79" s="126"/>
      <c r="X79" s="126"/>
      <c r="Y79" s="126"/>
      <c r="Z79" s="126"/>
    </row>
    <row r="80" ht="21.7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203"/>
      <c r="R80" s="126"/>
      <c r="S80" s="126"/>
      <c r="T80" s="126"/>
      <c r="U80" s="126"/>
      <c r="V80" s="126"/>
      <c r="W80" s="126"/>
      <c r="X80" s="126"/>
      <c r="Y80" s="126"/>
      <c r="Z80" s="126"/>
    </row>
    <row r="81" ht="21.7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203"/>
      <c r="R81" s="126"/>
      <c r="S81" s="126"/>
      <c r="T81" s="126"/>
      <c r="U81" s="126"/>
      <c r="V81" s="126"/>
      <c r="W81" s="126"/>
      <c r="X81" s="126"/>
      <c r="Y81" s="126"/>
      <c r="Z81" s="126"/>
    </row>
    <row r="82" ht="21.7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203"/>
      <c r="R82" s="126"/>
      <c r="S82" s="126"/>
      <c r="T82" s="126"/>
      <c r="U82" s="126"/>
      <c r="V82" s="126"/>
      <c r="W82" s="126"/>
      <c r="X82" s="126"/>
      <c r="Y82" s="126"/>
      <c r="Z82" s="126"/>
    </row>
    <row r="83" ht="21.7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203"/>
      <c r="R83" s="126"/>
      <c r="S83" s="126"/>
      <c r="T83" s="126"/>
      <c r="U83" s="126"/>
      <c r="V83" s="126"/>
      <c r="W83" s="126"/>
      <c r="X83" s="126"/>
      <c r="Y83" s="126"/>
      <c r="Z83" s="126"/>
    </row>
    <row r="84" ht="21.7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203"/>
      <c r="R84" s="126"/>
      <c r="S84" s="126"/>
      <c r="T84" s="126"/>
      <c r="U84" s="126"/>
      <c r="V84" s="126"/>
      <c r="W84" s="126"/>
      <c r="X84" s="126"/>
      <c r="Y84" s="126"/>
      <c r="Z84" s="126"/>
    </row>
    <row r="85" ht="21.7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203"/>
      <c r="R85" s="126"/>
      <c r="S85" s="126"/>
      <c r="T85" s="126"/>
      <c r="U85" s="126"/>
      <c r="V85" s="126"/>
      <c r="W85" s="126"/>
      <c r="X85" s="126"/>
      <c r="Y85" s="126"/>
      <c r="Z85" s="126"/>
    </row>
    <row r="86" ht="21.7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203"/>
      <c r="R86" s="126"/>
      <c r="S86" s="126"/>
      <c r="T86" s="126"/>
      <c r="U86" s="126"/>
      <c r="V86" s="126"/>
      <c r="W86" s="126"/>
      <c r="X86" s="126"/>
      <c r="Y86" s="126"/>
      <c r="Z86" s="126"/>
    </row>
    <row r="87" ht="21.7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203"/>
      <c r="R87" s="126"/>
      <c r="S87" s="126"/>
      <c r="T87" s="126"/>
      <c r="U87" s="126"/>
      <c r="V87" s="126"/>
      <c r="W87" s="126"/>
      <c r="X87" s="126"/>
      <c r="Y87" s="126"/>
      <c r="Z87" s="126"/>
    </row>
    <row r="88" ht="21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203"/>
      <c r="R88" s="126"/>
      <c r="S88" s="126"/>
      <c r="T88" s="126"/>
      <c r="U88" s="126"/>
      <c r="V88" s="126"/>
      <c r="W88" s="126"/>
      <c r="X88" s="126"/>
      <c r="Y88" s="126"/>
      <c r="Z88" s="126"/>
    </row>
    <row r="89" ht="21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203"/>
      <c r="R89" s="126"/>
      <c r="S89" s="126"/>
      <c r="T89" s="126"/>
      <c r="U89" s="126"/>
      <c r="V89" s="126"/>
      <c r="W89" s="126"/>
      <c r="X89" s="126"/>
      <c r="Y89" s="126"/>
      <c r="Z89" s="126"/>
    </row>
    <row r="90" ht="21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203"/>
      <c r="R90" s="126"/>
      <c r="S90" s="126"/>
      <c r="T90" s="126"/>
      <c r="U90" s="126"/>
      <c r="V90" s="126"/>
      <c r="W90" s="126"/>
      <c r="X90" s="126"/>
      <c r="Y90" s="126"/>
      <c r="Z90" s="126"/>
    </row>
    <row r="91" ht="21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203"/>
      <c r="R91" s="126"/>
      <c r="S91" s="126"/>
      <c r="T91" s="126"/>
      <c r="U91" s="126"/>
      <c r="V91" s="126"/>
      <c r="W91" s="126"/>
      <c r="X91" s="126"/>
      <c r="Y91" s="126"/>
      <c r="Z91" s="126"/>
    </row>
    <row r="92" ht="21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203"/>
      <c r="R92" s="126"/>
      <c r="S92" s="126"/>
      <c r="T92" s="126"/>
      <c r="U92" s="126"/>
      <c r="V92" s="126"/>
      <c r="W92" s="126"/>
      <c r="X92" s="126"/>
      <c r="Y92" s="126"/>
      <c r="Z92" s="126"/>
    </row>
    <row r="93" ht="21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203"/>
      <c r="R93" s="126"/>
      <c r="S93" s="126"/>
      <c r="T93" s="126"/>
      <c r="U93" s="126"/>
      <c r="V93" s="126"/>
      <c r="W93" s="126"/>
      <c r="X93" s="126"/>
      <c r="Y93" s="126"/>
      <c r="Z93" s="126"/>
    </row>
    <row r="94" ht="21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203"/>
      <c r="R94" s="126"/>
      <c r="S94" s="126"/>
      <c r="T94" s="126"/>
      <c r="U94" s="126"/>
      <c r="V94" s="126"/>
      <c r="W94" s="126"/>
      <c r="X94" s="126"/>
      <c r="Y94" s="126"/>
      <c r="Z94" s="126"/>
    </row>
    <row r="95" ht="21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203"/>
      <c r="R95" s="126"/>
      <c r="S95" s="126"/>
      <c r="T95" s="126"/>
      <c r="U95" s="126"/>
      <c r="V95" s="126"/>
      <c r="W95" s="126"/>
      <c r="X95" s="126"/>
      <c r="Y95" s="126"/>
      <c r="Z95" s="126"/>
    </row>
    <row r="96" ht="21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203"/>
      <c r="R96" s="126"/>
      <c r="S96" s="126"/>
      <c r="T96" s="126"/>
      <c r="U96" s="126"/>
      <c r="V96" s="126"/>
      <c r="W96" s="126"/>
      <c r="X96" s="126"/>
      <c r="Y96" s="126"/>
      <c r="Z96" s="126"/>
    </row>
    <row r="97" ht="21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203"/>
      <c r="R97" s="126"/>
      <c r="S97" s="126"/>
      <c r="T97" s="126"/>
      <c r="U97" s="126"/>
      <c r="V97" s="126"/>
      <c r="W97" s="126"/>
      <c r="X97" s="126"/>
      <c r="Y97" s="126"/>
      <c r="Z97" s="126"/>
    </row>
    <row r="98" ht="21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203"/>
      <c r="R98" s="126"/>
      <c r="S98" s="126"/>
      <c r="T98" s="126"/>
      <c r="U98" s="126"/>
      <c r="V98" s="126"/>
      <c r="W98" s="126"/>
      <c r="X98" s="126"/>
      <c r="Y98" s="126"/>
      <c r="Z98" s="126"/>
    </row>
    <row r="99" ht="21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203"/>
      <c r="R99" s="126"/>
      <c r="S99" s="126"/>
      <c r="T99" s="126"/>
      <c r="U99" s="126"/>
      <c r="V99" s="126"/>
      <c r="W99" s="126"/>
      <c r="X99" s="126"/>
      <c r="Y99" s="126"/>
      <c r="Z99" s="126"/>
    </row>
    <row r="100" ht="21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203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21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203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21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203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21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203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21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203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21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203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21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203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21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203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21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203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21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203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21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203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21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203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21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203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21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203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21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203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21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203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21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203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21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203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21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203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21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203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21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203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21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203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21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203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21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203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21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203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21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203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21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203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21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203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21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203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21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203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21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203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21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203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21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203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21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203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21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203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21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203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21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203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21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203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21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203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21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203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21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203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21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203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21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203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21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203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21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203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21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203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21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203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21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203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21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203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21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203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21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203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21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203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21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203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21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203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21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203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21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203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21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203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21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203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21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203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21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203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21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203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21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203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21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203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21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203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21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203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21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203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21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203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21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203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21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203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21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203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21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203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21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203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21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203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21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203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21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203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21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203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21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203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21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203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21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203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21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203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21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203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21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203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21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203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21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203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21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203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21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203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21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203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21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203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21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203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21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203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21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203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21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203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21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203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21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203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21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203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21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203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21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203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21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203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21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203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21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203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21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203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21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203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21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203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21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203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21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203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21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203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21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203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21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203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21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203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21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203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21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203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21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203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21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203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21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203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21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203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21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203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21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203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21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203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21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203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21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203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21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203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21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203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21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203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21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203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21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203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21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203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21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203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21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203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21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203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21.7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203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21.7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203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21.7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203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21.7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203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21.7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203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21.7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203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21.7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203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21.7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203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21.7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203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21.7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203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21.7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203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21.7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203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21.7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203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21.7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203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21.7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203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21.7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203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21.7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203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21.7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203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21.7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203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21.7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203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21.7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203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21.7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203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21.7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203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21.7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203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21.7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203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21.7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203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21.7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203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21.7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203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21.7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203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21.7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203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21.7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203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21.7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203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21.7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203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21.7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203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21.7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203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21.7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203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21.7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203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21.7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203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21.7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203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21.7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203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21.7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203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21.7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203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21.7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203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21.7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203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21.7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203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21.7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203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21.7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203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21.7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203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21.7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203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21.7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203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21.7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203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21.7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203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21.7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203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21.7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203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21.7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203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21.7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203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21.7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203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21.7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203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21.7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203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21.7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203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21.7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203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21.7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203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21.7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203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21.7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203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21.7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203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21.7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203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21.7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203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21.7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203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21.7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203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21.7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203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21.7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203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21.7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203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21.7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203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21.7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203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21.7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203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21.7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203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21.7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203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21.7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203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21.7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203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21.7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203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21.7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203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21.7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203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21.7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203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21.7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203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21.7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203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21.7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203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21.7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203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21.7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203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21.7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203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21.7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203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21.7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203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21.7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203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21.7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203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21.7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203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21.7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203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21.7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203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21.7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203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21.7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203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21.7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203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21.7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203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21.7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203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21.7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203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21.7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203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21.7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203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21.7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203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21.7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203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21.7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203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21.7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203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21.7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203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21.7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203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21.7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203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21.7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203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21.7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203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21.7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203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21.7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203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21.7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203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21.7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203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21.7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203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21.7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203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21.7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203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21.7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203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21.7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203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21.7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203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21.7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203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21.7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203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21.7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203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21.7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203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21.7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203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21.7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203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21.7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203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21.7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203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21.7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203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21.7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203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21.7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203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21.7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203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21.7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203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21.7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203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21.7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203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21.7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203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21.7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203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21.7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203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21.7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203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21.7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203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21.7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203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21.7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203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21.7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203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21.7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203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21.7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203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21.7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203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21.7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203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21.7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203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21.7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203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21.7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203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21.7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203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21.7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203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21.7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203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21.7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203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21.7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203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21.7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203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21.7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203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21.7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203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21.7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203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21.7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203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21.7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203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21.7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203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21.7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203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21.7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203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21.7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203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21.7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203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21.7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203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21.7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203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21.7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203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21.7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203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21.7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203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21.75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203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21.75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203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21.75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203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21.75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203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21.75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203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21.75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203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21.75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203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21.75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203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21.75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203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21.75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203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21.75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203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21.75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203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21.75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203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21.75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203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21.75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203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21.75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203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21.75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203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21.75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203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21.75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203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21.75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203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21.75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203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21.75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203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21.75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203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21.75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203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21.75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203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21.75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203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21.75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203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21.75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203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21.75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203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21.75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203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21.75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203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21.75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203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21.75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203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21.75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203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21.75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203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21.75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203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21.75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203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21.75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203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21.75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203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21.75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203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21.75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203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21.75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203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21.75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203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21.75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203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21.75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203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21.75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203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21.75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203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21.75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203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21.75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203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21.75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203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21.75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203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21.75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203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21.75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203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21.75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203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21.75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203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21.75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203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21.75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203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21.75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203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21.75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203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21.75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203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21.75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203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21.75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203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21.75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203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21.75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203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21.75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203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21.75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203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21.75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203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21.75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203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21.75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203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21.75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203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21.75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203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21.75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203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21.75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203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21.75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203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21.75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203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21.75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203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21.75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203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21.75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203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21.75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203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21.75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203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21.75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203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21.75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203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21.75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203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21.75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203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21.75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203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21.75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203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21.7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203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21.7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203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21.7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203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21.7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203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21.7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203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21.7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203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21.7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203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21.7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203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21.7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203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21.7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203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21.7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203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21.7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203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21.7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203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21.7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203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21.7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203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21.7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203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21.7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203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21.7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203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21.7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203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21.7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203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21.7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203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21.7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203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21.7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203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21.7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203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21.7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203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21.7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203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21.7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203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21.7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203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21.7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203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21.7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203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21.7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203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21.7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203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21.7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203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21.7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203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21.7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203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21.7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203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21.7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203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21.7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203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21.7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203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21.7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203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21.7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203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21.7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203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21.7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203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21.7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203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21.7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203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21.7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203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21.7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203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21.7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203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21.7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203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21.7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203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21.7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203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21.7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203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21.7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203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21.7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203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21.7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203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21.7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203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21.7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203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21.7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203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21.7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203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21.7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203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21.7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203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21.7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203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21.7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203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21.7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203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21.7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203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21.7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203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21.7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203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21.7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203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21.7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203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21.7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203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21.7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203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21.7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203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21.7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203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21.7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203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21.7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203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21.7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203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21.7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203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21.7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203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21.7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203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21.7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203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21.7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203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21.7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203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21.7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203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21.7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203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21.7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203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21.7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203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21.7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203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21.7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203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21.7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203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21.7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203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21.7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203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21.7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203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21.7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203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21.7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203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21.7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203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21.7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203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21.7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203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21.7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203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21.7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203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21.7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203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21.7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203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21.7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203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21.7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203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21.7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203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21.7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203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21.7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203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21.7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203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21.7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203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21.7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203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21.7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203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21.7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203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21.7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203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21.7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203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21.7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203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21.7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203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21.7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203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21.7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203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21.7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203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21.7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203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21.75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203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21.75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203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21.75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203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21.75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203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21.75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203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21.75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203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21.75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203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21.75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203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21.75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203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21.75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203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21.75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203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21.75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203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21.75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203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21.75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203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21.75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203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21.75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203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21.75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203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21.75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203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21.75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203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21.75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203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21.75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203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21.75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203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21.75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203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21.75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203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21.75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203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21.75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203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21.75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203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21.75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203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21.75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203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21.75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203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21.75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203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21.75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203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21.75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203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21.75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203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21.75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203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21.75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203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21.75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203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21.75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203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21.75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203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21.75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203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21.75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203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21.75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203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21.75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203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21.75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203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21.75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203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21.75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203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21.75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203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21.75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203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21.75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203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21.75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203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21.75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203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21.75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203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21.75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203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21.75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203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21.75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203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21.75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203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21.75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203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21.75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203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21.75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203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21.75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203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21.75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203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21.75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203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21.75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203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21.75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203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21.75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203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21.75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203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21.75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203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21.75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203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21.75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203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21.75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203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21.75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203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21.75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203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21.75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203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21.75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203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21.75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203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21.75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203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21.75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203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21.75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203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21.75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203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21.75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203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21.75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203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21.75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203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21.75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203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21.75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203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21.75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203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21.75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203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21.75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203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21.75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203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21.75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203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21.75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203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21.75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203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21.75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203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21.75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203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21.75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203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21.75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203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21.75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203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21.75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203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21.75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203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21.75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203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21.75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203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21.75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203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21.75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203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21.75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203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21.75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203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21.75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203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21.75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203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21.75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203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21.75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203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21.75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203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21.75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203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21.75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203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21.75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203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21.75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203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21.75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203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21.75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203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21.75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203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21.75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203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21.75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203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21.75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203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21.75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203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21.75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203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21.75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203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21.75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203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21.75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203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21.75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203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21.75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203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21.75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203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21.75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203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21.75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203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21.75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203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21.75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203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21.75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203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21.75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203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21.75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203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21.75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203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21.75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203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21.75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203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21.75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203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21.75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203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21.75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203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21.75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203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21.75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203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21.75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203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21.75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203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21.75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203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21.75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203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21.75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203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21.75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203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21.75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203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21.75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203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21.75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203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21.75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203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21.75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203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21.75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203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21.75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203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21.75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203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21.75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203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21.75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203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21.75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203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21.75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203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21.75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203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21.75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203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21.75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203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21.75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203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21.75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203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21.75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203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21.75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203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21.75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203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21.75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203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21.75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203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21.75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203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21.75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203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21.75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203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21.75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203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21.75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203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21.75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203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21.75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203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21.75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203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21.75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203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21.75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203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21.75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203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21.75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203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21.75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203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21.75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203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21.75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203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21.75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203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21.75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203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21.75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203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21.75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203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21.75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203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21.75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203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21.75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203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21.75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203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21.75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203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21.75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203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21.75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203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21.75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203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21.75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203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21.75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203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21.75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203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21.75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203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21.75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203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21.75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203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21.75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203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21.75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203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21.75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203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21.75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203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21.75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203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21.75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203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21.75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203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21.75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203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21.75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203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21.75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203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21.75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203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21.75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203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21.75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203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21.75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203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21.75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203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21.75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203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21.75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203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21.75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203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21.75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203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21.75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203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21.75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203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21.75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203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21.75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203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21.75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203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21.75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203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21.75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203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21.75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203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21.75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203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21.75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203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21.75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203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21.75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203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21.75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203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21.75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203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21.75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203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21.75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203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21.75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203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21.75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203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21.75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203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21.75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203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21.75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203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21.75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203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21.75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203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21.75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203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21.75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203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21.75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203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21.75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203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21.75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203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21.75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203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21.75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203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21.75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203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21.75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203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21.75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203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21.75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203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21.75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203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21.75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203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21.75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203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21.75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203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21.75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203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21.75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203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21.75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203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21.75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203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21.75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203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21.75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203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21.75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203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21.75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203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21.75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203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21.75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203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21.75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203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21.75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203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21.75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203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21.75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203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21.75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203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21.75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203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21.75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203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21.75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203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21.75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203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21.75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203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21.75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203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21.75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203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21.75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203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21.75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203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21.75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203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21.75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203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21.75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203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21.75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203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21.75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203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21.75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203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21.75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203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21.75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203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21.75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203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21.75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203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21.75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203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21.75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203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21.75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203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21.75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203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21.75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203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21.75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203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21.75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203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21.75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203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21.75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203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21.75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203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21.75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203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21.75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203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21.75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203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21.75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203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21.75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203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21.75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203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21.75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203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21.75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203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21.75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203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21.75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203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21.75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203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21.75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203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21.75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203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21.75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203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21.75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203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21.75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203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21.75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203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21.75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203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21.75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203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21.75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203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21.75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203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21.75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203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21.75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203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21.75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203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21.75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203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21.75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203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21.75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203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21.75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203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21.75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203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21.75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203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21.75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203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21.75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203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21.75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203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21.75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203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21.75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203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21.75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203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21.75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203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21.75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203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21.75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203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21.75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203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21.75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203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21.75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203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21.75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203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21.75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203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21.75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203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21.75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203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21.75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203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21.75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203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21.75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203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21.75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203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21.75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203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ht="21.75" customHeight="1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203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ht="21.75" customHeight="1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203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ht="21.75" customHeight="1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203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ht="21.75" customHeight="1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203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ht="21.75" customHeight="1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203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ht="21.75" customHeight="1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203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ht="21.75" customHeight="1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203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ht="21.75" customHeight="1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203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ht="21.75" customHeight="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203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ht="21.75" customHeight="1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203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ht="21.75" customHeight="1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203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ht="21.75" customHeight="1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203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ht="21.75" customHeight="1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203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ht="21.75" customHeight="1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203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ht="21.75" customHeight="1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203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ht="21.75" customHeight="1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203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ht="21.75" customHeight="1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203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ht="21.75" customHeight="1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203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ht="21.75" customHeight="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203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ht="21.75" customHeight="1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203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ht="21.75" customHeight="1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203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ht="21.75" customHeight="1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203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ht="21.75" customHeight="1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203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ht="21.75" customHeight="1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203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ht="21.75" customHeight="1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203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ht="21.75" customHeight="1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203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ht="21.75" customHeight="1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203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ht="21.75" customHeight="1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203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ht="21.75" customHeight="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203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ht="21.75" customHeight="1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203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ht="21.75" customHeight="1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203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ht="21.75" customHeight="1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203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ht="21.75" customHeight="1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203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ht="21.75" customHeight="1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203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ht="21.75" customHeight="1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203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ht="21.75" customHeight="1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203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ht="21.75" customHeight="1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203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ht="21.75" customHeight="1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203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32">
    <mergeCell ref="I1:Q3"/>
    <mergeCell ref="R1:W3"/>
    <mergeCell ref="T5:V5"/>
    <mergeCell ref="T6:V6"/>
    <mergeCell ref="M7:V7"/>
    <mergeCell ref="D8:F8"/>
    <mergeCell ref="C11:C13"/>
    <mergeCell ref="R11:V11"/>
    <mergeCell ref="D11:P13"/>
    <mergeCell ref="Q11:Q13"/>
    <mergeCell ref="E23:P23"/>
    <mergeCell ref="E25:P25"/>
    <mergeCell ref="F30:P30"/>
    <mergeCell ref="E31:P31"/>
    <mergeCell ref="E33:P33"/>
    <mergeCell ref="E34:P34"/>
    <mergeCell ref="C39:C41"/>
    <mergeCell ref="D39:P41"/>
    <mergeCell ref="Q39:Q41"/>
    <mergeCell ref="R39:V39"/>
    <mergeCell ref="E43:P43"/>
    <mergeCell ref="E46:P46"/>
    <mergeCell ref="Q67:T67"/>
    <mergeCell ref="N71:R71"/>
    <mergeCell ref="N73:R73"/>
    <mergeCell ref="U52:V52"/>
    <mergeCell ref="U53:V53"/>
    <mergeCell ref="D65:J65"/>
    <mergeCell ref="P65:T65"/>
    <mergeCell ref="E66:J66"/>
    <mergeCell ref="Q66:T66"/>
    <mergeCell ref="E67:J67"/>
  </mergeCells>
  <printOptions horizontalCentered="1"/>
  <pageMargins bottom="0.0" footer="0.0" header="0.0" left="0.0" right="0.0" top="0.0"/>
  <pageSetup paperSize="9" orientation="portrait"/>
  <headerFooter>
    <oddFooter>&amp;LAOTGA-TSS-FO-008 Rev.00/08Jan25&amp;Cหน้าที่ &amp;P / &amp;R&amp;A</oddFooter>
  </headerFooter>
  <rowBreaks count="1" manualBreakCount="1">
    <brk id="37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99"/>
    <pageSetUpPr/>
  </sheetPr>
  <sheetViews>
    <sheetView showGridLines="0" workbookViewId="0"/>
  </sheetViews>
  <sheetFormatPr customHeight="1" defaultColWidth="12.63" defaultRowHeight="15.0"/>
  <cols>
    <col customWidth="1" min="1" max="2" width="1.75"/>
    <col customWidth="1" min="3" max="3" width="5.75"/>
    <col customWidth="1" min="4" max="5" width="1.75"/>
    <col customWidth="1" min="6" max="16" width="4.25"/>
    <col customWidth="1" min="17" max="17" width="6.25"/>
    <col customWidth="1" min="18" max="22" width="5.63"/>
    <col customWidth="1" min="23" max="24" width="1.75"/>
    <col customWidth="1" min="25" max="26" width="4.75"/>
  </cols>
  <sheetData>
    <row r="1" ht="21.75" customHeight="1">
      <c r="A1" s="126"/>
      <c r="B1" s="127"/>
      <c r="C1" s="128"/>
      <c r="D1" s="128"/>
      <c r="E1" s="128"/>
      <c r="F1" s="129"/>
      <c r="G1" s="129"/>
      <c r="H1" s="128"/>
      <c r="I1" s="130" t="s">
        <v>146</v>
      </c>
      <c r="J1" s="131"/>
      <c r="K1" s="131"/>
      <c r="L1" s="131"/>
      <c r="M1" s="131"/>
      <c r="N1" s="131"/>
      <c r="O1" s="131"/>
      <c r="P1" s="131"/>
      <c r="Q1" s="132"/>
      <c r="R1" s="133" t="s">
        <v>147</v>
      </c>
      <c r="S1" s="131"/>
      <c r="T1" s="131"/>
      <c r="U1" s="131"/>
      <c r="V1" s="131"/>
      <c r="W1" s="132"/>
      <c r="X1" s="134"/>
      <c r="Y1" s="126"/>
      <c r="Z1" s="126"/>
    </row>
    <row r="2" ht="21.75" customHeight="1">
      <c r="A2" s="126"/>
      <c r="B2" s="135"/>
      <c r="C2" s="126"/>
      <c r="D2" s="126"/>
      <c r="E2" s="136"/>
      <c r="F2" s="136"/>
      <c r="G2" s="136"/>
      <c r="H2" s="137"/>
      <c r="Q2" s="138"/>
      <c r="W2" s="138"/>
      <c r="X2" s="134"/>
      <c r="Y2" s="126"/>
      <c r="Z2" s="126"/>
    </row>
    <row r="3" ht="21.75" customHeight="1">
      <c r="A3" s="126"/>
      <c r="B3" s="139"/>
      <c r="C3" s="140"/>
      <c r="D3" s="140"/>
      <c r="E3" s="141"/>
      <c r="F3" s="141"/>
      <c r="G3" s="141"/>
      <c r="H3" s="142"/>
      <c r="I3" s="143"/>
      <c r="J3" s="143"/>
      <c r="K3" s="143"/>
      <c r="L3" s="143"/>
      <c r="M3" s="143"/>
      <c r="N3" s="143"/>
      <c r="O3" s="143"/>
      <c r="P3" s="143"/>
      <c r="Q3" s="144"/>
      <c r="R3" s="143"/>
      <c r="S3" s="143"/>
      <c r="T3" s="143"/>
      <c r="U3" s="143"/>
      <c r="V3" s="143"/>
      <c r="W3" s="144"/>
      <c r="X3" s="134"/>
      <c r="Y3" s="126"/>
      <c r="Z3" s="126"/>
    </row>
    <row r="4" ht="4.5" customHeight="1">
      <c r="A4" s="126"/>
      <c r="B4" s="127"/>
      <c r="C4" s="128"/>
      <c r="D4" s="128"/>
      <c r="E4" s="129"/>
      <c r="F4" s="129"/>
      <c r="G4" s="129"/>
      <c r="H4" s="145"/>
      <c r="I4" s="145"/>
      <c r="J4" s="145"/>
      <c r="K4" s="145"/>
      <c r="L4" s="145"/>
      <c r="M4" s="145"/>
      <c r="N4" s="145"/>
      <c r="O4" s="145"/>
      <c r="P4" s="145"/>
      <c r="Q4" s="146"/>
      <c r="R4" s="146"/>
      <c r="S4" s="146"/>
      <c r="T4" s="146"/>
      <c r="U4" s="146"/>
      <c r="V4" s="146"/>
      <c r="W4" s="147"/>
      <c r="X4" s="148"/>
      <c r="Y4" s="126"/>
      <c r="Z4" s="126"/>
    </row>
    <row r="5" ht="21.75" customHeight="1">
      <c r="A5" s="126"/>
      <c r="B5" s="135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49" t="s">
        <v>148</v>
      </c>
      <c r="T5" s="150">
        <v>46021.0</v>
      </c>
      <c r="U5" s="151"/>
      <c r="V5" s="151"/>
      <c r="W5" s="152"/>
      <c r="X5" s="126"/>
      <c r="Y5" s="126"/>
      <c r="Z5" s="126"/>
    </row>
    <row r="6" ht="21.75" customHeight="1">
      <c r="A6" s="126"/>
      <c r="B6" s="135"/>
      <c r="C6" s="126" t="s">
        <v>149</v>
      </c>
      <c r="D6" s="126"/>
      <c r="E6" s="126"/>
      <c r="F6" s="126"/>
      <c r="G6" s="153" t="s">
        <v>150</v>
      </c>
      <c r="H6" s="153"/>
      <c r="I6" s="153"/>
      <c r="J6" s="153"/>
      <c r="K6" s="153"/>
      <c r="L6" s="153"/>
      <c r="M6" s="153"/>
      <c r="N6" s="153"/>
      <c r="O6" s="153"/>
      <c r="P6" s="153"/>
      <c r="Q6" s="126"/>
      <c r="R6" s="126"/>
      <c r="S6" s="149" t="s">
        <v>151</v>
      </c>
      <c r="T6" s="154">
        <v>1234567.0</v>
      </c>
      <c r="U6" s="155"/>
      <c r="V6" s="155"/>
      <c r="W6" s="152"/>
      <c r="X6" s="126"/>
      <c r="Y6" s="126"/>
      <c r="Z6" s="126"/>
    </row>
    <row r="7" ht="21.75" customHeight="1">
      <c r="A7" s="126"/>
      <c r="B7" s="135"/>
      <c r="C7" s="126" t="s">
        <v>152</v>
      </c>
      <c r="D7" s="126"/>
      <c r="E7" s="126"/>
      <c r="F7" s="156" t="s">
        <v>226</v>
      </c>
      <c r="G7" s="151"/>
      <c r="H7" s="151"/>
      <c r="I7" s="151"/>
      <c r="J7" s="151"/>
      <c r="K7" s="126"/>
      <c r="L7" s="157" t="s">
        <v>154</v>
      </c>
      <c r="M7" s="150" t="s">
        <v>155</v>
      </c>
      <c r="N7" s="151"/>
      <c r="O7" s="151"/>
      <c r="P7" s="151"/>
      <c r="Q7" s="151"/>
      <c r="R7" s="151"/>
      <c r="S7" s="151"/>
      <c r="T7" s="151"/>
      <c r="U7" s="151"/>
      <c r="V7" s="151"/>
      <c r="W7" s="152"/>
      <c r="X7" s="126"/>
      <c r="Y7" s="126"/>
      <c r="Z7" s="126"/>
    </row>
    <row r="8" ht="21.75" customHeight="1">
      <c r="A8" s="126"/>
      <c r="B8" s="135"/>
      <c r="C8" s="126" t="s">
        <v>156</v>
      </c>
      <c r="D8" s="156" t="s">
        <v>157</v>
      </c>
      <c r="E8" s="151"/>
      <c r="F8" s="151"/>
      <c r="G8" s="126"/>
      <c r="H8" s="126"/>
      <c r="I8" s="126"/>
      <c r="J8" s="126"/>
      <c r="K8" s="149" t="s">
        <v>158</v>
      </c>
      <c r="L8" s="153" t="s">
        <v>159</v>
      </c>
      <c r="M8" s="153"/>
      <c r="N8" s="158"/>
      <c r="O8" s="158"/>
      <c r="P8" s="158"/>
      <c r="Q8" s="158"/>
      <c r="R8" s="158"/>
      <c r="S8" s="158"/>
      <c r="T8" s="158"/>
      <c r="U8" s="158"/>
      <c r="V8" s="158"/>
      <c r="W8" s="152"/>
      <c r="X8" s="126"/>
      <c r="Y8" s="126"/>
      <c r="Z8" s="126"/>
    </row>
    <row r="9" ht="9.75" customHeight="1">
      <c r="A9" s="126"/>
      <c r="B9" s="139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59"/>
      <c r="R9" s="140"/>
      <c r="S9" s="140"/>
      <c r="T9" s="140"/>
      <c r="U9" s="140"/>
      <c r="V9" s="140"/>
      <c r="W9" s="160"/>
      <c r="X9" s="126"/>
      <c r="Y9" s="126"/>
      <c r="Z9" s="126"/>
    </row>
    <row r="10" ht="9.75" customHeight="1">
      <c r="A10" s="126"/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61"/>
      <c r="R10" s="128"/>
      <c r="S10" s="128"/>
      <c r="T10" s="128"/>
      <c r="U10" s="128"/>
      <c r="V10" s="128"/>
      <c r="W10" s="162"/>
      <c r="X10" s="126"/>
      <c r="Y10" s="126"/>
      <c r="Z10" s="126"/>
    </row>
    <row r="11" ht="18.75" customHeight="1">
      <c r="A11" s="163"/>
      <c r="B11" s="164"/>
      <c r="C11" s="165" t="s">
        <v>160</v>
      </c>
      <c r="D11" s="166" t="s">
        <v>161</v>
      </c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8"/>
      <c r="Q11" s="169" t="s">
        <v>162</v>
      </c>
      <c r="R11" s="204" t="s">
        <v>163</v>
      </c>
      <c r="S11" s="2"/>
      <c r="T11" s="2"/>
      <c r="U11" s="2"/>
      <c r="V11" s="3"/>
      <c r="W11" s="171"/>
      <c r="X11" s="163"/>
      <c r="Y11" s="163"/>
      <c r="Z11" s="163"/>
    </row>
    <row r="12" ht="18.75" customHeight="1">
      <c r="A12" s="163"/>
      <c r="B12" s="172"/>
      <c r="C12" s="68"/>
      <c r="D12" s="66"/>
      <c r="P12" s="67"/>
      <c r="Q12" s="68"/>
      <c r="R12" s="173" t="s">
        <v>164</v>
      </c>
      <c r="S12" s="173" t="s">
        <v>165</v>
      </c>
      <c r="T12" s="173" t="s">
        <v>166</v>
      </c>
      <c r="U12" s="173" t="s">
        <v>167</v>
      </c>
      <c r="V12" s="173" t="s">
        <v>168</v>
      </c>
      <c r="W12" s="171"/>
      <c r="X12" s="163"/>
      <c r="Y12" s="163"/>
      <c r="Z12" s="163"/>
    </row>
    <row r="13" ht="18.0" customHeight="1">
      <c r="A13" s="163"/>
      <c r="B13" s="172"/>
      <c r="C13" s="73"/>
      <c r="D13" s="70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2"/>
      <c r="Q13" s="73"/>
      <c r="R13" s="173">
        <v>1.0</v>
      </c>
      <c r="S13" s="173">
        <v>2.0</v>
      </c>
      <c r="T13" s="173">
        <v>3.0</v>
      </c>
      <c r="U13" s="173">
        <v>4.0</v>
      </c>
      <c r="V13" s="173">
        <v>5.0</v>
      </c>
      <c r="W13" s="171"/>
      <c r="X13" s="163"/>
      <c r="Y13" s="163"/>
      <c r="Z13" s="163"/>
    </row>
    <row r="14" ht="21.75" customHeight="1">
      <c r="A14" s="174"/>
      <c r="B14" s="172"/>
      <c r="C14" s="165"/>
      <c r="D14" s="232" t="s">
        <v>169</v>
      </c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65"/>
      <c r="R14" s="165"/>
      <c r="S14" s="165"/>
      <c r="T14" s="165"/>
      <c r="U14" s="165"/>
      <c r="V14" s="165"/>
      <c r="W14" s="179"/>
      <c r="X14" s="174"/>
      <c r="Y14" s="174"/>
      <c r="Z14" s="174"/>
    </row>
    <row r="15" ht="21.75" customHeight="1">
      <c r="A15" s="174"/>
      <c r="B15" s="172"/>
      <c r="C15" s="178">
        <v>1.0</v>
      </c>
      <c r="D15" s="174"/>
      <c r="E15" s="174" t="s">
        <v>170</v>
      </c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8">
        <v>10.0</v>
      </c>
      <c r="R15" s="178"/>
      <c r="S15" s="178"/>
      <c r="T15" s="178"/>
      <c r="U15" s="178"/>
      <c r="V15" s="178" t="s">
        <v>171</v>
      </c>
      <c r="W15" s="179"/>
      <c r="X15" s="174"/>
      <c r="Y15" s="174"/>
      <c r="Z15" s="174">
        <f t="shared" ref="Z15:Z17" si="1">(5/5)*Q15</f>
        <v>10</v>
      </c>
    </row>
    <row r="16" ht="21.75" customHeight="1">
      <c r="A16" s="174"/>
      <c r="B16" s="172"/>
      <c r="C16" s="180">
        <v>2.0</v>
      </c>
      <c r="D16" s="181"/>
      <c r="E16" s="181" t="s">
        <v>172</v>
      </c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0">
        <v>10.0</v>
      </c>
      <c r="R16" s="180"/>
      <c r="S16" s="180"/>
      <c r="T16" s="180"/>
      <c r="U16" s="180"/>
      <c r="V16" s="180" t="s">
        <v>171</v>
      </c>
      <c r="W16" s="179"/>
      <c r="X16" s="174"/>
      <c r="Y16" s="174"/>
      <c r="Z16" s="174">
        <f t="shared" si="1"/>
        <v>10</v>
      </c>
    </row>
    <row r="17" ht="21.75" customHeight="1">
      <c r="A17" s="174"/>
      <c r="B17" s="172"/>
      <c r="C17" s="180">
        <v>3.0</v>
      </c>
      <c r="D17" s="181"/>
      <c r="E17" s="181" t="s">
        <v>227</v>
      </c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0">
        <v>10.0</v>
      </c>
      <c r="R17" s="180"/>
      <c r="S17" s="180"/>
      <c r="T17" s="180"/>
      <c r="U17" s="180"/>
      <c r="V17" s="180" t="s">
        <v>171</v>
      </c>
      <c r="W17" s="179"/>
      <c r="X17" s="174"/>
      <c r="Y17" s="174"/>
      <c r="Z17" s="174">
        <f t="shared" si="1"/>
        <v>10</v>
      </c>
    </row>
    <row r="18" ht="4.5" customHeight="1">
      <c r="A18" s="174"/>
      <c r="B18" s="172"/>
      <c r="C18" s="182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2"/>
      <c r="R18" s="182"/>
      <c r="S18" s="182"/>
      <c r="T18" s="182"/>
      <c r="U18" s="182"/>
      <c r="V18" s="182"/>
      <c r="W18" s="179"/>
      <c r="X18" s="174"/>
      <c r="Y18" s="174"/>
      <c r="Z18" s="174"/>
    </row>
    <row r="19" ht="21.75" customHeight="1">
      <c r="A19" s="174"/>
      <c r="B19" s="172"/>
      <c r="C19" s="178"/>
      <c r="D19" s="232" t="s">
        <v>228</v>
      </c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8"/>
      <c r="R19" s="178"/>
      <c r="S19" s="178"/>
      <c r="T19" s="178"/>
      <c r="U19" s="178"/>
      <c r="V19" s="178"/>
      <c r="W19" s="179"/>
      <c r="X19" s="174"/>
      <c r="Y19" s="174"/>
      <c r="Z19" s="174"/>
    </row>
    <row r="20" ht="33.0" customHeight="1">
      <c r="A20" s="174"/>
      <c r="B20" s="172"/>
      <c r="C20" s="177">
        <v>4.0</v>
      </c>
      <c r="D20" s="185"/>
      <c r="E20" s="202" t="s">
        <v>229</v>
      </c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87"/>
      <c r="Q20" s="177">
        <v>10.0</v>
      </c>
      <c r="R20" s="177"/>
      <c r="S20" s="177"/>
      <c r="T20" s="177"/>
      <c r="U20" s="177"/>
      <c r="V20" s="177" t="s">
        <v>171</v>
      </c>
      <c r="W20" s="179"/>
      <c r="X20" s="174"/>
      <c r="Y20" s="174"/>
      <c r="Z20" s="174">
        <f t="shared" ref="Z20:Z25" si="2">(5/5)*Q20</f>
        <v>10</v>
      </c>
    </row>
    <row r="21" ht="33.0" customHeight="1">
      <c r="A21" s="174"/>
      <c r="B21" s="172"/>
      <c r="C21" s="180">
        <v>5.0</v>
      </c>
      <c r="D21" s="181"/>
      <c r="E21" s="253" t="s">
        <v>180</v>
      </c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89"/>
      <c r="Q21" s="180">
        <v>5.0</v>
      </c>
      <c r="R21" s="180"/>
      <c r="S21" s="180"/>
      <c r="T21" s="180"/>
      <c r="U21" s="180"/>
      <c r="V21" s="180" t="s">
        <v>171</v>
      </c>
      <c r="W21" s="179"/>
      <c r="X21" s="174"/>
      <c r="Y21" s="174"/>
      <c r="Z21" s="174">
        <f t="shared" si="2"/>
        <v>5</v>
      </c>
    </row>
    <row r="22" ht="21.75" customHeight="1">
      <c r="A22" s="174"/>
      <c r="B22" s="172"/>
      <c r="C22" s="180">
        <v>6.0</v>
      </c>
      <c r="D22" s="181"/>
      <c r="E22" s="181" t="s">
        <v>230</v>
      </c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0">
        <v>10.0</v>
      </c>
      <c r="R22" s="180"/>
      <c r="S22" s="180"/>
      <c r="T22" s="180"/>
      <c r="U22" s="180"/>
      <c r="V22" s="180" t="s">
        <v>171</v>
      </c>
      <c r="W22" s="179"/>
      <c r="X22" s="174"/>
      <c r="Y22" s="174"/>
      <c r="Z22" s="174">
        <f t="shared" si="2"/>
        <v>10</v>
      </c>
    </row>
    <row r="23" ht="21.75" customHeight="1">
      <c r="A23" s="174"/>
      <c r="B23" s="172"/>
      <c r="C23" s="180">
        <v>7.0</v>
      </c>
      <c r="D23" s="181"/>
      <c r="E23" s="181" t="s">
        <v>188</v>
      </c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0">
        <v>10.0</v>
      </c>
      <c r="R23" s="180"/>
      <c r="S23" s="180"/>
      <c r="T23" s="180"/>
      <c r="U23" s="180"/>
      <c r="V23" s="180" t="s">
        <v>171</v>
      </c>
      <c r="W23" s="179"/>
      <c r="X23" s="174"/>
      <c r="Y23" s="174"/>
      <c r="Z23" s="174">
        <f t="shared" si="2"/>
        <v>10</v>
      </c>
    </row>
    <row r="24" ht="21.75" customHeight="1">
      <c r="A24" s="174"/>
      <c r="B24" s="172"/>
      <c r="C24" s="180">
        <v>8.0</v>
      </c>
      <c r="D24" s="181"/>
      <c r="E24" s="181" t="s">
        <v>191</v>
      </c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0">
        <v>5.0</v>
      </c>
      <c r="R24" s="180"/>
      <c r="S24" s="180"/>
      <c r="T24" s="180"/>
      <c r="U24" s="180"/>
      <c r="V24" s="180" t="s">
        <v>171</v>
      </c>
      <c r="W24" s="179"/>
      <c r="X24" s="174"/>
      <c r="Y24" s="174"/>
      <c r="Z24" s="174">
        <f t="shared" si="2"/>
        <v>5</v>
      </c>
    </row>
    <row r="25" ht="21.75" customHeight="1">
      <c r="A25" s="174"/>
      <c r="B25" s="172"/>
      <c r="C25" s="180">
        <v>9.0</v>
      </c>
      <c r="D25" s="181"/>
      <c r="E25" s="181" t="s">
        <v>231</v>
      </c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0">
        <v>5.0</v>
      </c>
      <c r="R25" s="180"/>
      <c r="S25" s="180"/>
      <c r="T25" s="180"/>
      <c r="U25" s="180"/>
      <c r="V25" s="180" t="s">
        <v>171</v>
      </c>
      <c r="W25" s="179"/>
      <c r="X25" s="174"/>
      <c r="Y25" s="174"/>
      <c r="Z25" s="174">
        <f t="shared" si="2"/>
        <v>5</v>
      </c>
    </row>
    <row r="26" ht="21.75" customHeight="1">
      <c r="A26" s="174"/>
      <c r="B26" s="172"/>
      <c r="C26" s="178"/>
      <c r="D26" s="232" t="s">
        <v>192</v>
      </c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8"/>
      <c r="R26" s="178"/>
      <c r="S26" s="178"/>
      <c r="T26" s="178"/>
      <c r="U26" s="178"/>
      <c r="V26" s="165"/>
      <c r="W26" s="179"/>
      <c r="X26" s="174"/>
      <c r="Y26" s="174"/>
      <c r="Z26" s="174"/>
    </row>
    <row r="27" ht="34.5" customHeight="1">
      <c r="A27" s="174"/>
      <c r="B27" s="172"/>
      <c r="C27" s="178">
        <v>10.0</v>
      </c>
      <c r="D27" s="174"/>
      <c r="E27" s="202" t="s">
        <v>193</v>
      </c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87"/>
      <c r="Q27" s="178">
        <v>10.0</v>
      </c>
      <c r="R27" s="178"/>
      <c r="S27" s="178"/>
      <c r="T27" s="178"/>
      <c r="U27" s="178" t="s">
        <v>171</v>
      </c>
      <c r="V27" s="178"/>
      <c r="W27" s="179"/>
      <c r="X27" s="174"/>
      <c r="Y27" s="174"/>
      <c r="Z27" s="174">
        <f t="shared" ref="Z27:Z28" si="3">(4/5)*Q27</f>
        <v>8</v>
      </c>
    </row>
    <row r="28" ht="21.75" customHeight="1">
      <c r="A28" s="174"/>
      <c r="B28" s="172"/>
      <c r="C28" s="180">
        <v>11.0</v>
      </c>
      <c r="D28" s="181"/>
      <c r="E28" s="181" t="s">
        <v>194</v>
      </c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0">
        <v>10.0</v>
      </c>
      <c r="R28" s="180"/>
      <c r="S28" s="180"/>
      <c r="T28" s="180"/>
      <c r="U28" s="180" t="s">
        <v>171</v>
      </c>
      <c r="V28" s="180"/>
      <c r="W28" s="179"/>
      <c r="X28" s="174"/>
      <c r="Y28" s="174"/>
      <c r="Z28" s="174">
        <f t="shared" si="3"/>
        <v>8</v>
      </c>
    </row>
    <row r="29" ht="21.75" customHeight="1">
      <c r="A29" s="163"/>
      <c r="B29" s="172"/>
      <c r="C29" s="178"/>
      <c r="D29" s="232" t="s">
        <v>195</v>
      </c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8"/>
      <c r="R29" s="178"/>
      <c r="S29" s="178"/>
      <c r="T29" s="178"/>
      <c r="U29" s="178"/>
      <c r="V29" s="178"/>
      <c r="W29" s="179"/>
      <c r="X29" s="174"/>
      <c r="Y29" s="163"/>
      <c r="Z29" s="174"/>
    </row>
    <row r="30" ht="21.75" customHeight="1">
      <c r="A30" s="163"/>
      <c r="B30" s="172"/>
      <c r="C30" s="177">
        <v>12.0</v>
      </c>
      <c r="D30" s="185"/>
      <c r="E30" s="185" t="s">
        <v>197</v>
      </c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77">
        <v>10.0</v>
      </c>
      <c r="R30" s="177"/>
      <c r="S30" s="177"/>
      <c r="T30" s="177"/>
      <c r="U30" s="177" t="s">
        <v>171</v>
      </c>
      <c r="V30" s="177"/>
      <c r="W30" s="179"/>
      <c r="X30" s="174"/>
      <c r="Y30" s="163"/>
      <c r="Z30" s="174">
        <f t="shared" ref="Z30:Z32" si="4">(4/5)*Q30</f>
        <v>8</v>
      </c>
    </row>
    <row r="31" ht="21.75" customHeight="1">
      <c r="A31" s="163"/>
      <c r="B31" s="172"/>
      <c r="C31" s="180">
        <v>13.0</v>
      </c>
      <c r="D31" s="181"/>
      <c r="E31" s="163" t="s">
        <v>198</v>
      </c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0">
        <v>5.0</v>
      </c>
      <c r="R31" s="180"/>
      <c r="S31" s="180"/>
      <c r="T31" s="180"/>
      <c r="U31" s="180" t="s">
        <v>171</v>
      </c>
      <c r="V31" s="180"/>
      <c r="W31" s="179"/>
      <c r="X31" s="174"/>
      <c r="Y31" s="163"/>
      <c r="Z31" s="174">
        <f t="shared" si="4"/>
        <v>4</v>
      </c>
    </row>
    <row r="32" ht="33.0" customHeight="1">
      <c r="A32" s="163"/>
      <c r="B32" s="172"/>
      <c r="C32" s="180">
        <v>14.0</v>
      </c>
      <c r="D32" s="181"/>
      <c r="E32" s="253" t="s">
        <v>232</v>
      </c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89"/>
      <c r="Q32" s="180">
        <v>10.0</v>
      </c>
      <c r="R32" s="180"/>
      <c r="S32" s="180"/>
      <c r="T32" s="180"/>
      <c r="U32" s="180" t="s">
        <v>171</v>
      </c>
      <c r="V32" s="180"/>
      <c r="W32" s="179"/>
      <c r="X32" s="174"/>
      <c r="Y32" s="163"/>
      <c r="Z32" s="174">
        <f t="shared" si="4"/>
        <v>8</v>
      </c>
    </row>
    <row r="33" ht="4.5" customHeight="1">
      <c r="A33" s="174"/>
      <c r="B33" s="172"/>
      <c r="C33" s="193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3"/>
      <c r="R33" s="193"/>
      <c r="S33" s="193"/>
      <c r="T33" s="193"/>
      <c r="U33" s="193"/>
      <c r="V33" s="195"/>
      <c r="W33" s="179"/>
      <c r="X33" s="174"/>
      <c r="Y33" s="174"/>
      <c r="Z33" s="174"/>
    </row>
    <row r="34" ht="21.75" customHeight="1">
      <c r="A34" s="174"/>
      <c r="B34" s="172"/>
      <c r="C34" s="204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6" t="s">
        <v>201</v>
      </c>
      <c r="Q34" s="207">
        <f>SUM(Q27:Q32,Q15:Q25)</f>
        <v>120</v>
      </c>
      <c r="R34" s="208"/>
      <c r="S34" s="208"/>
      <c r="T34" s="208"/>
      <c r="U34" s="208"/>
      <c r="V34" s="208"/>
      <c r="W34" s="179"/>
      <c r="X34" s="174"/>
      <c r="Y34" s="174"/>
      <c r="Z34" s="174"/>
    </row>
    <row r="35" ht="21.75" customHeight="1">
      <c r="A35" s="174"/>
      <c r="B35" s="172"/>
      <c r="C35" s="208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208"/>
      <c r="R35" s="174"/>
      <c r="S35" s="204"/>
      <c r="T35" s="210" t="s">
        <v>201</v>
      </c>
      <c r="U35" s="211">
        <f>SUM(Z15:Z32)</f>
        <v>111</v>
      </c>
      <c r="V35" s="3"/>
      <c r="W35" s="179"/>
      <c r="X35" s="174"/>
      <c r="Y35" s="174"/>
      <c r="Z35" s="174"/>
    </row>
    <row r="36" ht="21.75" customHeight="1">
      <c r="A36" s="203"/>
      <c r="B36" s="212"/>
      <c r="C36" s="213" t="s">
        <v>202</v>
      </c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14"/>
      <c r="R36" s="209"/>
      <c r="S36" s="215"/>
      <c r="T36" s="216" t="s">
        <v>203</v>
      </c>
      <c r="U36" s="215">
        <f>U35/1.2</f>
        <v>92.5</v>
      </c>
      <c r="V36" s="3"/>
      <c r="W36" s="218"/>
      <c r="X36" s="203"/>
      <c r="Y36" s="203"/>
      <c r="Z36" s="203"/>
    </row>
    <row r="37" ht="21.75" customHeight="1">
      <c r="A37" s="203"/>
      <c r="B37" s="212"/>
      <c r="C37" s="214"/>
      <c r="D37" s="203"/>
      <c r="E37" s="203" t="s">
        <v>204</v>
      </c>
      <c r="F37" s="203"/>
      <c r="G37" s="203"/>
      <c r="H37" s="214"/>
      <c r="I37" s="203"/>
      <c r="J37" s="203"/>
      <c r="K37" s="203"/>
      <c r="L37" s="203"/>
      <c r="M37" s="203"/>
      <c r="N37" s="203" t="s">
        <v>205</v>
      </c>
      <c r="O37" s="203"/>
      <c r="P37" s="203"/>
      <c r="Q37" s="214"/>
      <c r="R37" s="214"/>
      <c r="S37" s="214"/>
      <c r="T37" s="214"/>
      <c r="U37" s="214"/>
      <c r="V37" s="214"/>
      <c r="W37" s="218"/>
      <c r="X37" s="203"/>
      <c r="Y37" s="203"/>
      <c r="Z37" s="203"/>
    </row>
    <row r="38" ht="21.75" customHeight="1">
      <c r="A38" s="203"/>
      <c r="B38" s="212"/>
      <c r="C38" s="219" t="s">
        <v>233</v>
      </c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14"/>
      <c r="R38" s="214"/>
      <c r="S38" s="214"/>
      <c r="T38" s="214"/>
      <c r="U38" s="214"/>
      <c r="V38" s="214"/>
      <c r="W38" s="218"/>
      <c r="X38" s="203"/>
      <c r="Y38" s="203"/>
      <c r="Z38" s="203"/>
    </row>
    <row r="39" ht="15.0" customHeight="1">
      <c r="A39" s="203"/>
      <c r="B39" s="254"/>
      <c r="C39" s="255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255"/>
      <c r="R39" s="255"/>
      <c r="S39" s="255"/>
      <c r="T39" s="255"/>
      <c r="U39" s="255"/>
      <c r="V39" s="256"/>
      <c r="W39" s="257"/>
      <c r="X39" s="203"/>
      <c r="Y39" s="203"/>
      <c r="Z39" s="203"/>
    </row>
    <row r="40" ht="39.75" customHeight="1">
      <c r="A40" s="203"/>
      <c r="B40" s="240"/>
      <c r="C40" s="258" t="s">
        <v>207</v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241"/>
      <c r="R40" s="241"/>
      <c r="S40" s="241"/>
      <c r="T40" s="241"/>
      <c r="U40" s="241"/>
      <c r="V40" s="241"/>
      <c r="W40" s="242"/>
      <c r="X40" s="203"/>
      <c r="Y40" s="203"/>
      <c r="Z40" s="203"/>
    </row>
    <row r="41" ht="21.75" customHeight="1">
      <c r="A41" s="203"/>
      <c r="B41" s="212"/>
      <c r="C41" s="220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0"/>
      <c r="R41" s="220"/>
      <c r="S41" s="220"/>
      <c r="T41" s="220"/>
      <c r="U41" s="220"/>
      <c r="V41" s="220"/>
      <c r="W41" s="218"/>
      <c r="X41" s="203"/>
      <c r="Y41" s="203"/>
      <c r="Z41" s="203"/>
    </row>
    <row r="42" ht="21.75" customHeight="1">
      <c r="A42" s="203"/>
      <c r="B42" s="212"/>
      <c r="C42" s="222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2"/>
      <c r="R42" s="222"/>
      <c r="S42" s="222"/>
      <c r="T42" s="222"/>
      <c r="U42" s="222"/>
      <c r="V42" s="222"/>
      <c r="W42" s="218"/>
      <c r="X42" s="203"/>
      <c r="Y42" s="203"/>
      <c r="Z42" s="203"/>
    </row>
    <row r="43" ht="21.75" customHeight="1">
      <c r="A43" s="203"/>
      <c r="B43" s="212"/>
      <c r="C43" s="222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2"/>
      <c r="R43" s="222"/>
      <c r="S43" s="222"/>
      <c r="T43" s="222"/>
      <c r="U43" s="222"/>
      <c r="V43" s="222"/>
      <c r="W43" s="218"/>
      <c r="X43" s="203"/>
      <c r="Y43" s="203"/>
      <c r="Z43" s="203"/>
    </row>
    <row r="44" ht="21.75" customHeight="1">
      <c r="A44" s="203"/>
      <c r="B44" s="212"/>
      <c r="C44" s="222"/>
      <c r="D44" s="223"/>
      <c r="E44" s="223"/>
      <c r="F44" s="223"/>
      <c r="G44" s="223"/>
      <c r="H44" s="223"/>
      <c r="I44" s="223"/>
      <c r="J44" s="223"/>
      <c r="K44" s="223"/>
      <c r="L44" s="223"/>
      <c r="M44" s="223"/>
      <c r="N44" s="223"/>
      <c r="O44" s="223"/>
      <c r="P44" s="223"/>
      <c r="Q44" s="222"/>
      <c r="R44" s="222"/>
      <c r="S44" s="222"/>
      <c r="T44" s="222"/>
      <c r="U44" s="222"/>
      <c r="V44" s="222"/>
      <c r="W44" s="218"/>
      <c r="X44" s="203"/>
      <c r="Y44" s="203"/>
      <c r="Z44" s="203"/>
    </row>
    <row r="45" ht="9.75" customHeight="1">
      <c r="A45" s="203"/>
      <c r="B45" s="212"/>
      <c r="C45" s="214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14"/>
      <c r="R45" s="214"/>
      <c r="S45" s="214"/>
      <c r="T45" s="214"/>
      <c r="U45" s="214"/>
      <c r="V45" s="214"/>
      <c r="W45" s="218"/>
      <c r="X45" s="203"/>
      <c r="Y45" s="203"/>
      <c r="Z45" s="203"/>
    </row>
    <row r="46" ht="21.75" customHeight="1">
      <c r="A46" s="203"/>
      <c r="B46" s="212"/>
      <c r="C46" s="214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14"/>
      <c r="R46" s="214"/>
      <c r="S46" s="214"/>
      <c r="T46" s="214"/>
      <c r="U46" s="214"/>
      <c r="V46" s="214"/>
      <c r="W46" s="218"/>
      <c r="X46" s="203"/>
      <c r="Y46" s="203"/>
      <c r="Z46" s="203"/>
    </row>
    <row r="47" ht="21.75" customHeight="1">
      <c r="A47" s="224"/>
      <c r="B47" s="225"/>
      <c r="C47" s="149" t="s">
        <v>208</v>
      </c>
      <c r="D47" s="226"/>
      <c r="E47" s="226"/>
      <c r="F47" s="226"/>
      <c r="G47" s="226"/>
      <c r="H47" s="226"/>
      <c r="I47" s="226"/>
      <c r="J47" s="226"/>
      <c r="K47" s="224" t="s">
        <v>209</v>
      </c>
      <c r="L47" s="224"/>
      <c r="M47" s="224"/>
      <c r="N47" s="224"/>
      <c r="O47" s="149" t="s">
        <v>208</v>
      </c>
      <c r="P47" s="226"/>
      <c r="Q47" s="227"/>
      <c r="R47" s="226"/>
      <c r="S47" s="226"/>
      <c r="T47" s="226"/>
      <c r="U47" s="224" t="s">
        <v>210</v>
      </c>
      <c r="V47" s="224"/>
      <c r="W47" s="228"/>
      <c r="X47" s="224"/>
      <c r="Y47" s="224"/>
      <c r="Z47" s="224"/>
    </row>
    <row r="48" ht="21.75" customHeight="1">
      <c r="A48" s="224"/>
      <c r="B48" s="225"/>
      <c r="C48" s="149" t="s">
        <v>211</v>
      </c>
      <c r="D48" s="154" t="s">
        <v>150</v>
      </c>
      <c r="E48" s="155"/>
      <c r="F48" s="155"/>
      <c r="G48" s="155"/>
      <c r="H48" s="155"/>
      <c r="I48" s="155"/>
      <c r="J48" s="155"/>
      <c r="K48" s="224" t="s">
        <v>212</v>
      </c>
      <c r="L48" s="224"/>
      <c r="M48" s="224"/>
      <c r="N48" s="224"/>
      <c r="O48" s="149" t="s">
        <v>211</v>
      </c>
      <c r="P48" s="156"/>
      <c r="Q48" s="220"/>
      <c r="R48" s="156"/>
      <c r="S48" s="156"/>
      <c r="T48" s="156"/>
      <c r="U48" s="224" t="s">
        <v>213</v>
      </c>
      <c r="V48" s="224"/>
      <c r="W48" s="228"/>
      <c r="X48" s="224"/>
      <c r="Y48" s="224"/>
      <c r="Z48" s="224"/>
    </row>
    <row r="49" ht="21.75" customHeight="1">
      <c r="A49" s="224"/>
      <c r="B49" s="225"/>
      <c r="C49" s="224" t="s">
        <v>214</v>
      </c>
      <c r="D49" s="224"/>
      <c r="E49" s="154" t="s">
        <v>226</v>
      </c>
      <c r="F49" s="155"/>
      <c r="G49" s="155"/>
      <c r="H49" s="155"/>
      <c r="I49" s="155"/>
      <c r="J49" s="155"/>
      <c r="K49" s="224"/>
      <c r="L49" s="224"/>
      <c r="M49" s="224"/>
      <c r="N49" s="224"/>
      <c r="O49" s="224" t="s">
        <v>214</v>
      </c>
      <c r="P49" s="224"/>
      <c r="Q49" s="222" t="s">
        <v>153</v>
      </c>
      <c r="R49" s="155"/>
      <c r="S49" s="155"/>
      <c r="T49" s="155"/>
      <c r="U49" s="224"/>
      <c r="V49" s="224"/>
      <c r="W49" s="228"/>
      <c r="X49" s="224"/>
      <c r="Y49" s="224"/>
      <c r="Z49" s="224"/>
    </row>
    <row r="50" ht="21.75" customHeight="1">
      <c r="A50" s="224"/>
      <c r="B50" s="225"/>
      <c r="C50" s="224"/>
      <c r="D50" s="149" t="s">
        <v>216</v>
      </c>
      <c r="E50" s="229">
        <f>T5</f>
        <v>46021</v>
      </c>
      <c r="F50" s="155"/>
      <c r="G50" s="155"/>
      <c r="H50" s="155"/>
      <c r="I50" s="155"/>
      <c r="J50" s="155"/>
      <c r="K50" s="224"/>
      <c r="L50" s="224"/>
      <c r="M50" s="224"/>
      <c r="N50" s="224"/>
      <c r="O50" s="224"/>
      <c r="P50" s="149" t="s">
        <v>216</v>
      </c>
      <c r="Q50" s="229">
        <f>T5</f>
        <v>46021</v>
      </c>
      <c r="R50" s="155"/>
      <c r="S50" s="155"/>
      <c r="T50" s="155"/>
      <c r="U50" s="224"/>
      <c r="V50" s="224"/>
      <c r="W50" s="228"/>
      <c r="X50" s="224"/>
      <c r="Y50" s="224"/>
      <c r="Z50" s="224"/>
    </row>
    <row r="51" ht="21.75" customHeight="1">
      <c r="A51" s="224"/>
      <c r="B51" s="225"/>
      <c r="C51" s="224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19"/>
      <c r="R51" s="224"/>
      <c r="S51" s="224"/>
      <c r="T51" s="224"/>
      <c r="U51" s="224"/>
      <c r="V51" s="224"/>
      <c r="W51" s="228"/>
      <c r="X51" s="224"/>
      <c r="Y51" s="224"/>
      <c r="Z51" s="224"/>
    </row>
    <row r="52" ht="21.75" customHeight="1">
      <c r="A52" s="224"/>
      <c r="B52" s="225"/>
      <c r="C52" s="224"/>
      <c r="D52" s="224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19"/>
      <c r="R52" s="224"/>
      <c r="S52" s="224"/>
      <c r="T52" s="224"/>
      <c r="U52" s="224"/>
      <c r="V52" s="224"/>
      <c r="W52" s="228"/>
      <c r="X52" s="224"/>
      <c r="Y52" s="224"/>
      <c r="Z52" s="224"/>
    </row>
    <row r="53" ht="21.75" customHeight="1">
      <c r="A53" s="224"/>
      <c r="B53" s="225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149" t="s">
        <v>208</v>
      </c>
      <c r="N53" s="226"/>
      <c r="O53" s="226"/>
      <c r="P53" s="226"/>
      <c r="Q53" s="227"/>
      <c r="R53" s="226"/>
      <c r="S53" s="224"/>
      <c r="T53" s="224"/>
      <c r="U53" s="224"/>
      <c r="V53" s="224"/>
      <c r="W53" s="228"/>
      <c r="X53" s="224"/>
      <c r="Y53" s="224"/>
      <c r="Z53" s="224"/>
    </row>
    <row r="54" ht="21.75" customHeight="1">
      <c r="A54" s="224"/>
      <c r="B54" s="225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30" t="s">
        <v>234</v>
      </c>
      <c r="S54" s="224"/>
      <c r="T54" s="224"/>
      <c r="U54" s="224"/>
      <c r="V54" s="224"/>
      <c r="W54" s="228"/>
      <c r="X54" s="224"/>
      <c r="Y54" s="224"/>
      <c r="Z54" s="224"/>
    </row>
    <row r="55" ht="21.75" customHeight="1">
      <c r="A55" s="224"/>
      <c r="B55" s="225"/>
      <c r="C55" s="224"/>
      <c r="D55" s="224"/>
      <c r="E55" s="224"/>
      <c r="F55" s="224"/>
      <c r="G55" s="224"/>
      <c r="H55" s="224"/>
      <c r="I55" s="224"/>
      <c r="J55" s="224"/>
      <c r="K55" s="224" t="s">
        <v>235</v>
      </c>
      <c r="L55" s="224"/>
      <c r="M55" s="224"/>
      <c r="N55" s="224"/>
      <c r="O55" s="224"/>
      <c r="P55" s="224"/>
      <c r="Q55" s="219"/>
      <c r="R55" s="224"/>
      <c r="S55" s="224"/>
      <c r="T55" s="224"/>
      <c r="U55" s="224"/>
      <c r="V55" s="224"/>
      <c r="W55" s="228"/>
      <c r="X55" s="224"/>
      <c r="Y55" s="224"/>
      <c r="Z55" s="224"/>
    </row>
    <row r="56" ht="21.75" customHeight="1">
      <c r="A56" s="224"/>
      <c r="B56" s="225"/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149" t="s">
        <v>216</v>
      </c>
      <c r="N56" s="150">
        <f>T5</f>
        <v>46021</v>
      </c>
      <c r="O56" s="151"/>
      <c r="P56" s="151"/>
      <c r="Q56" s="151"/>
      <c r="R56" s="151"/>
      <c r="S56" s="224"/>
      <c r="T56" s="224"/>
      <c r="U56" s="224"/>
      <c r="V56" s="224"/>
      <c r="W56" s="228"/>
      <c r="X56" s="224"/>
      <c r="Y56" s="224"/>
      <c r="Z56" s="224"/>
    </row>
    <row r="57" ht="21.75" customHeight="1">
      <c r="A57" s="259"/>
      <c r="B57" s="260"/>
      <c r="C57" s="261"/>
      <c r="D57" s="262"/>
      <c r="E57" s="262"/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3"/>
      <c r="X57" s="259"/>
      <c r="Y57" s="259"/>
      <c r="Z57" s="259"/>
    </row>
    <row r="58" ht="21.7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21.7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21.7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21.7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21.7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21.7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21.7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21.7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21.7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21.7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21.7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21.7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21.7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21.7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21.7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21.7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21.7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21.7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21.7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21.7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21.7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21.7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21.7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21.7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21.7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21.7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21.7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21.7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21.7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21.7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21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21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21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21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21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21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21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21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21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21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21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21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21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21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21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21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21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21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21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21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21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21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21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21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21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21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21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21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21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21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21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21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21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21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21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21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21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21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21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21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21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21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21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21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21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21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21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21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21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21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21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21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21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21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21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21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21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21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21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21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21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21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21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21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21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21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21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21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21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21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21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21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21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21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21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21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21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21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21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21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21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21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21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21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21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21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21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21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21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21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21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21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21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21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21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21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21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21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21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21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21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21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21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21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21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21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21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21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21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21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21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21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21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21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21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21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21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21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21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21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21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21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21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21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21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21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21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21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21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21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21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21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21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21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21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21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21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21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21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21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21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21.7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21.7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21.7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21.7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21.7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21.7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21.7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21.7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21.7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21.7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21.7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21.7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21.7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21.7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21.7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21.7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21.7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21.7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21.7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21.7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21.7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21.7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21.7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21.7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21.7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21.7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21.7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21.7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21.7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21.7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21.7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21.7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21.7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21.7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21.7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21.7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21.7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21.7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21.7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21.7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21.7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21.7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21.7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21.7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21.7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21.7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21.7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21.7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21.7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21.7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21.7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21.7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21.7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21.7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21.7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21.7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21.7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21.7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21.7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21.7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21.7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21.7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21.7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21.7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21.7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21.7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21.7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21.7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21.7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21.7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21.7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21.7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21.7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21.7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21.7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21.7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21.7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21.7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21.7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21.7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21.7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21.7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21.7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21.7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21.7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21.7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21.7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21.7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21.7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21.7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21.7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21.7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21.7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21.7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21.7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21.7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21.7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21.7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21.7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21.7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21.7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21.7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21.7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21.7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21.7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21.7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21.7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21.7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21.7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21.7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21.7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21.7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21.7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21.7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21.7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21.7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21.7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21.7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21.7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21.7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21.7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21.7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21.7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21.7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21.7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21.7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21.7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21.7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21.7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21.7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21.7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21.7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21.7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21.7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21.7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21.7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21.7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21.7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21.7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21.7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21.7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21.7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21.7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21.7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21.7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21.7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21.7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21.7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21.7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21.7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21.7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21.7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21.7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21.7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21.7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21.7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21.7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21.7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21.7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21.7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21.7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21.7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21.7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21.7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21.7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21.7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21.7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21.7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21.7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21.7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21.7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21.7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21.7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21.7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21.75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21.75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21.75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21.75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21.75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21.75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21.75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21.75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21.75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21.75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21.75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21.75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21.75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21.75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21.75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21.75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21.75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21.75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21.75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21.75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21.75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21.75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21.75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21.75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21.75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21.75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21.75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21.75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21.75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21.75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21.75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21.75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21.75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21.75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21.75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21.75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21.75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21.75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21.75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21.75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21.75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21.75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21.75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21.75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21.75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21.75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21.75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21.75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21.75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21.75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21.75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21.75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21.75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21.75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21.75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21.75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21.75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21.75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21.75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21.75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21.75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21.75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21.75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21.75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21.75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21.75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21.75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21.75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21.75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21.75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21.75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21.75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21.75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21.75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21.75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21.75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21.75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21.75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21.75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21.75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21.75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21.75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21.75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21.75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21.75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21.75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21.7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21.7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21.7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21.7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21.7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21.7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21.7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21.7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21.7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21.7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21.7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21.7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21.7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21.7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21.7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21.7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21.7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21.7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21.7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21.7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21.7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21.7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21.7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21.7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21.7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21.7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21.7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21.7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21.7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21.7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21.7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21.7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21.7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21.7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21.7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21.7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21.7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21.7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21.7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21.7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21.7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21.7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21.7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21.7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21.7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21.7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21.7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21.7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21.7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21.7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21.7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21.7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21.7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21.7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21.7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21.7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21.7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21.7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21.7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21.7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21.7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21.7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21.7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21.7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21.7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21.7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21.7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21.7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21.7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21.7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21.7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21.7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21.7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21.7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21.7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21.7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21.7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21.7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21.7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21.7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21.7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21.7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21.7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21.7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21.7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21.7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21.7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21.7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21.7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21.7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21.7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21.7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21.7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21.7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21.7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21.7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21.7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21.7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21.7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21.7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21.7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21.7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21.7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21.7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21.7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21.7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21.7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21.7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21.7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21.7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21.7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21.7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21.7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21.7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21.7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21.7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21.7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21.7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21.7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21.75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21.75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21.75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21.75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21.75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21.75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21.75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21.75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21.75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21.75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21.75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21.75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21.75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21.75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21.75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21.75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21.75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21.75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21.75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21.75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21.75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21.75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21.75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21.75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21.75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21.75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21.75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21.75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21.75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21.75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21.75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21.75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21.75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21.75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21.75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21.75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21.75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21.75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21.75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21.75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21.75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21.75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21.75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21.75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21.75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21.75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21.75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21.75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21.75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21.75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21.75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21.75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21.75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21.75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21.75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21.75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21.75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21.75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21.75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21.75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21.75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21.75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21.75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21.75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21.75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21.75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21.75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21.75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21.75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21.75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21.75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21.75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21.75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21.75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21.75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21.75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21.75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21.75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21.75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21.75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21.75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21.75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21.75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21.75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21.75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21.75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21.75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21.75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21.75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21.75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21.75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21.75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21.75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21.75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21.75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21.75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21.75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21.75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21.75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21.75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21.75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21.75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21.75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21.75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21.75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21.75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21.75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21.75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21.75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21.75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21.75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21.75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21.75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21.75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21.75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21.75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21.75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21.75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21.75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21.75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21.75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21.75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21.75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21.75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21.75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21.75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21.75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21.75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21.75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21.75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21.75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21.75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21.75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21.75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21.75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21.75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21.75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21.75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21.75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21.75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21.75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21.75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21.75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21.75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21.75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21.75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21.75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21.75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21.75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21.75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21.75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21.75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21.75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21.75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21.75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21.75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21.75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21.75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21.75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21.75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21.75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21.75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21.75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21.75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21.75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21.75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21.75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21.75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21.75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21.75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21.75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21.75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21.75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21.75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21.75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21.75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21.75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21.75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21.75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21.75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21.75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21.75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21.75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21.75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21.75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21.75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21.75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21.75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21.75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21.75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21.75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21.75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21.75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21.75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21.75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21.75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21.75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21.75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21.75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21.75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21.75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21.75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21.75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21.75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21.75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21.75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21.75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21.75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21.75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21.75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21.75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21.75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21.75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21.75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21.75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21.75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21.75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21.75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21.75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21.75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21.75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21.75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21.75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21.75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21.75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21.75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21.75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21.75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21.75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21.75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21.75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21.75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21.75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21.75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21.75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21.75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21.75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21.75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21.75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21.75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21.75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21.75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21.75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21.75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21.75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21.75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21.75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21.75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21.75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21.75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21.75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21.75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21.75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21.75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21.75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21.75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21.75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21.75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21.75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21.75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21.75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21.75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21.75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21.75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21.75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21.75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21.75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21.75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21.75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21.75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21.75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21.75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21.75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21.75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21.75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21.75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21.75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21.75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21.75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21.75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21.75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21.75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21.75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21.75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21.75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21.75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21.75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21.75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21.75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21.75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21.75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21.75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21.75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21.75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21.75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21.75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21.75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21.75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21.75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21.75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21.75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21.75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21.75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21.75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21.75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21.75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21.75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21.75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21.75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21.75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21.75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21.75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21.75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21.75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21.75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21.75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21.75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21.75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21.75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21.75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21.75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21.75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21.75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21.75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21.75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21.75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21.75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21.75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21.75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21.75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21.75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21.75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21.75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21.75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21.75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21.75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21.75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21.75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21.75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21.75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21.75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21.75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21.75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21.75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21.75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21.75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21.75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21.75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21.75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21.75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21.75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21.75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21.75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21.75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21.75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ht="21.75" customHeight="1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ht="21.75" customHeight="1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ht="21.75" customHeight="1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ht="21.75" customHeight="1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ht="21.75" customHeight="1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ht="21.75" customHeight="1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ht="21.75" customHeight="1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ht="21.75" customHeight="1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ht="21.75" customHeight="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ht="21.75" customHeight="1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ht="21.75" customHeight="1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ht="21.75" customHeight="1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ht="21.75" customHeight="1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ht="21.75" customHeight="1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ht="21.75" customHeight="1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ht="21.75" customHeight="1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ht="21.75" customHeight="1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ht="21.75" customHeight="1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ht="21.75" customHeight="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ht="21.75" customHeight="1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ht="21.75" customHeight="1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ht="21.75" customHeight="1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ht="21.75" customHeight="1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ht="21.75" customHeight="1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ht="21.75" customHeight="1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ht="21.75" customHeight="1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ht="21.75" customHeight="1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ht="21.75" customHeight="1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ht="21.75" customHeight="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ht="21.75" customHeight="1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ht="21.75" customHeight="1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ht="21.75" customHeight="1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ht="21.75" customHeight="1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ht="21.75" customHeight="1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ht="21.75" customHeight="1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ht="21.75" customHeight="1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ht="21.75" customHeight="1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ht="21.75" customHeight="1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24">
    <mergeCell ref="I1:Q3"/>
    <mergeCell ref="R1:W3"/>
    <mergeCell ref="T5:V5"/>
    <mergeCell ref="T6:V6"/>
    <mergeCell ref="F7:J7"/>
    <mergeCell ref="M7:V7"/>
    <mergeCell ref="D8:F8"/>
    <mergeCell ref="C11:C13"/>
    <mergeCell ref="D11:P13"/>
    <mergeCell ref="Q11:Q13"/>
    <mergeCell ref="R11:V11"/>
    <mergeCell ref="E20:P20"/>
    <mergeCell ref="E21:P21"/>
    <mergeCell ref="E27:P27"/>
    <mergeCell ref="Q50:T50"/>
    <mergeCell ref="N54:R54"/>
    <mergeCell ref="N56:R56"/>
    <mergeCell ref="E32:P32"/>
    <mergeCell ref="U35:V35"/>
    <mergeCell ref="U36:V36"/>
    <mergeCell ref="D48:J48"/>
    <mergeCell ref="E49:J49"/>
    <mergeCell ref="Q49:T49"/>
    <mergeCell ref="E50:J50"/>
  </mergeCells>
  <printOptions/>
  <pageMargins bottom="0.0" footer="0.0" header="0.0" left="0.3937007874015748" right="0.0" top="0.0"/>
  <pageSetup paperSize="9" orientation="portrait"/>
  <headerFooter>
    <oddFooter>&amp;LAOTGA-TSS-FO-010 Rev.00/08Jan25&amp;Cหน้าที่ &amp;P / &amp;R&amp;A</oddFooter>
  </headerFooter>
  <rowBreaks count="1" manualBreakCount="1">
    <brk id="39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2026-02-23T08:30:13Z</dcterms:created>
  <dc:creator>Oracha Rakkanngan</dc:creator>
</cp:coreProperties>
</file>